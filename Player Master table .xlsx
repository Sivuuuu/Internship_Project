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ineleaps\"/>
    </mc:Choice>
  </mc:AlternateContent>
  <xr:revisionPtr revIDLastSave="0" documentId="8_{5406388A-DE02-4B7E-A8DF-4CC42C1D48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stersheet" sheetId="1" r:id="rId1"/>
    <sheet name="Top 22" sheetId="2" r:id="rId2"/>
    <sheet name="Top 11" sheetId="3" r:id="rId3"/>
    <sheet name="__OpenSolverCache__" sheetId="9" state="hidden" r:id="rId4"/>
    <sheet name="__OpenSolver__" sheetId="10" state="hidden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10" l="1"/>
  <c r="A29" i="10"/>
  <c r="A28" i="10"/>
  <c r="A21" i="10"/>
  <c r="A20" i="10"/>
  <c r="A19" i="10"/>
  <c r="A18" i="10"/>
  <c r="A17" i="10"/>
  <c r="A16" i="10"/>
  <c r="A14" i="10"/>
  <c r="A13" i="10"/>
  <c r="A6" i="10"/>
  <c r="A5" i="10"/>
  <c r="A4" i="10"/>
  <c r="A3" i="10"/>
  <c r="A2" i="10"/>
  <c r="A1" i="10"/>
  <c r="C15" i="3"/>
  <c r="C14" i="3"/>
  <c r="G13" i="3"/>
  <c r="F13" i="3"/>
  <c r="E13" i="3"/>
  <c r="D13" i="3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D189" i="1"/>
  <c r="D188" i="1"/>
  <c r="D187" i="1"/>
  <c r="D186" i="1"/>
  <c r="BX185" i="1"/>
  <c r="BS185" i="1"/>
  <c r="CC185" i="1" s="1"/>
  <c r="BI185" i="1"/>
  <c r="BG185" i="1"/>
  <c r="BF185" i="1"/>
  <c r="AQ185" i="1"/>
  <c r="AO185" i="1"/>
  <c r="BY185" i="1" s="1"/>
  <c r="AJ185" i="1"/>
  <c r="AC185" i="1"/>
  <c r="W185" i="1"/>
  <c r="U185" i="1"/>
  <c r="J185" i="1"/>
  <c r="F185" i="1"/>
  <c r="BY184" i="1"/>
  <c r="BX184" i="1"/>
  <c r="BI184" i="1"/>
  <c r="BG184" i="1"/>
  <c r="BF184" i="1"/>
  <c r="AQ184" i="1"/>
  <c r="AO184" i="1"/>
  <c r="AJ184" i="1"/>
  <c r="BS184" i="1" s="1"/>
  <c r="CC184" i="1" s="1"/>
  <c r="AC184" i="1"/>
  <c r="W184" i="1"/>
  <c r="U184" i="1"/>
  <c r="J184" i="1"/>
  <c r="F184" i="1"/>
  <c r="BY183" i="1"/>
  <c r="BS183" i="1"/>
  <c r="CC183" i="1" s="1"/>
  <c r="BI183" i="1"/>
  <c r="BG183" i="1"/>
  <c r="BF183" i="1"/>
  <c r="AQ183" i="1"/>
  <c r="AO183" i="1"/>
  <c r="AJ183" i="1"/>
  <c r="AC183" i="1"/>
  <c r="W183" i="1"/>
  <c r="BX183" i="1" s="1"/>
  <c r="U183" i="1"/>
  <c r="J183" i="1"/>
  <c r="F183" i="1"/>
  <c r="CE182" i="1"/>
  <c r="BZ182" i="1"/>
  <c r="BY182" i="1"/>
  <c r="BI182" i="1"/>
  <c r="BG182" i="1"/>
  <c r="BF182" i="1"/>
  <c r="AQ182" i="1"/>
  <c r="AO182" i="1"/>
  <c r="AJ182" i="1"/>
  <c r="AC182" i="1"/>
  <c r="U182" i="1"/>
  <c r="J182" i="1"/>
  <c r="F182" i="1"/>
  <c r="BI181" i="1"/>
  <c r="BG181" i="1"/>
  <c r="BF181" i="1"/>
  <c r="AQ181" i="1"/>
  <c r="CE181" i="1" s="1"/>
  <c r="AO181" i="1"/>
  <c r="BY181" i="1" s="1"/>
  <c r="AJ181" i="1"/>
  <c r="AC181" i="1"/>
  <c r="U181" i="1"/>
  <c r="J181" i="1"/>
  <c r="F181" i="1"/>
  <c r="BZ181" i="1" s="1"/>
  <c r="CC180" i="1"/>
  <c r="BI180" i="1"/>
  <c r="BG180" i="1"/>
  <c r="BF180" i="1"/>
  <c r="BX180" i="1" s="1"/>
  <c r="AQ180" i="1"/>
  <c r="CE180" i="1" s="1"/>
  <c r="AO180" i="1"/>
  <c r="BY180" i="1" s="1"/>
  <c r="AJ180" i="1"/>
  <c r="BS180" i="1" s="1"/>
  <c r="AC180" i="1"/>
  <c r="U180" i="1"/>
  <c r="J180" i="1"/>
  <c r="F180" i="1"/>
  <c r="BZ180" i="1" s="1"/>
  <c r="CE179" i="1"/>
  <c r="BZ179" i="1"/>
  <c r="BY179" i="1"/>
  <c r="BI179" i="1"/>
  <c r="BG179" i="1"/>
  <c r="BF179" i="1"/>
  <c r="AQ179" i="1"/>
  <c r="AO179" i="1"/>
  <c r="AJ179" i="1"/>
  <c r="BS179" i="1" s="1"/>
  <c r="CC179" i="1" s="1"/>
  <c r="AC179" i="1"/>
  <c r="W179" i="1"/>
  <c r="BX179" i="1" s="1"/>
  <c r="U179" i="1"/>
  <c r="J179" i="1"/>
  <c r="CC178" i="1"/>
  <c r="BZ178" i="1"/>
  <c r="BS178" i="1"/>
  <c r="BI178" i="1"/>
  <c r="BG178" i="1"/>
  <c r="BF178" i="1"/>
  <c r="AQ178" i="1"/>
  <c r="CE178" i="1" s="1"/>
  <c r="AO178" i="1"/>
  <c r="BY178" i="1" s="1"/>
  <c r="AJ178" i="1"/>
  <c r="AC178" i="1"/>
  <c r="W178" i="1"/>
  <c r="BX178" i="1" s="1"/>
  <c r="U178" i="1"/>
  <c r="J178" i="1"/>
  <c r="CA177" i="1"/>
  <c r="BZ177" i="1"/>
  <c r="BY177" i="1"/>
  <c r="BX177" i="1"/>
  <c r="CB177" i="1" s="1"/>
  <c r="CD177" i="1" s="1"/>
  <c r="CF177" i="1" s="1"/>
  <c r="BS177" i="1"/>
  <c r="CC177" i="1" s="1"/>
  <c r="BI177" i="1"/>
  <c r="BG177" i="1"/>
  <c r="BF177" i="1"/>
  <c r="AQ177" i="1"/>
  <c r="CE177" i="1" s="1"/>
  <c r="AO177" i="1"/>
  <c r="AJ177" i="1"/>
  <c r="AC177" i="1"/>
  <c r="W177" i="1"/>
  <c r="U177" i="1"/>
  <c r="J177" i="1"/>
  <c r="BX176" i="1"/>
  <c r="BI176" i="1"/>
  <c r="BG176" i="1"/>
  <c r="BF176" i="1"/>
  <c r="AQ176" i="1"/>
  <c r="CE176" i="1" s="1"/>
  <c r="AO176" i="1"/>
  <c r="BY176" i="1" s="1"/>
  <c r="AJ176" i="1"/>
  <c r="AC176" i="1"/>
  <c r="W176" i="1"/>
  <c r="U176" i="1"/>
  <c r="J176" i="1"/>
  <c r="CA175" i="1"/>
  <c r="BI175" i="1"/>
  <c r="BG175" i="1"/>
  <c r="BF175" i="1"/>
  <c r="BZ175" i="1" s="1"/>
  <c r="AQ175" i="1"/>
  <c r="CE175" i="1" s="1"/>
  <c r="AO175" i="1"/>
  <c r="BY175" i="1" s="1"/>
  <c r="AJ175" i="1"/>
  <c r="BS175" i="1" s="1"/>
  <c r="CC175" i="1" s="1"/>
  <c r="AC175" i="1"/>
  <c r="W175" i="1"/>
  <c r="BX175" i="1" s="1"/>
  <c r="U175" i="1"/>
  <c r="J175" i="1"/>
  <c r="CA174" i="1"/>
  <c r="BZ174" i="1"/>
  <c r="BY174" i="1"/>
  <c r="BX174" i="1"/>
  <c r="BI174" i="1"/>
  <c r="BG174" i="1"/>
  <c r="BF174" i="1"/>
  <c r="AQ174" i="1"/>
  <c r="CE174" i="1" s="1"/>
  <c r="AO174" i="1"/>
  <c r="AJ174" i="1"/>
  <c r="BS174" i="1" s="1"/>
  <c r="CC174" i="1" s="1"/>
  <c r="AC174" i="1"/>
  <c r="W174" i="1"/>
  <c r="U174" i="1"/>
  <c r="J174" i="1"/>
  <c r="CB173" i="1"/>
  <c r="CD173" i="1" s="1"/>
  <c r="CF173" i="1" s="1"/>
  <c r="CA173" i="1"/>
  <c r="BZ173" i="1"/>
  <c r="BY173" i="1"/>
  <c r="BX173" i="1"/>
  <c r="BS173" i="1"/>
  <c r="CC173" i="1" s="1"/>
  <c r="BI173" i="1"/>
  <c r="BG173" i="1"/>
  <c r="BF173" i="1"/>
  <c r="AQ173" i="1"/>
  <c r="CE173" i="1" s="1"/>
  <c r="AO173" i="1"/>
  <c r="AJ173" i="1"/>
  <c r="AC173" i="1"/>
  <c r="W173" i="1"/>
  <c r="U173" i="1"/>
  <c r="J173" i="1"/>
  <c r="BY172" i="1"/>
  <c r="BI172" i="1"/>
  <c r="BG172" i="1"/>
  <c r="BF172" i="1"/>
  <c r="AQ172" i="1"/>
  <c r="CE172" i="1" s="1"/>
  <c r="AO172" i="1"/>
  <c r="AJ172" i="1"/>
  <c r="AC172" i="1"/>
  <c r="W172" i="1"/>
  <c r="U172" i="1"/>
  <c r="J172" i="1"/>
  <c r="CC171" i="1"/>
  <c r="CB171" i="1"/>
  <c r="CD171" i="1" s="1"/>
  <c r="CF171" i="1" s="1"/>
  <c r="CA171" i="1"/>
  <c r="BI171" i="1"/>
  <c r="BG171" i="1"/>
  <c r="BF171" i="1"/>
  <c r="BZ171" i="1" s="1"/>
  <c r="AQ171" i="1"/>
  <c r="CE171" i="1" s="1"/>
  <c r="AO171" i="1"/>
  <c r="BY171" i="1" s="1"/>
  <c r="AJ171" i="1"/>
  <c r="BS171" i="1" s="1"/>
  <c r="W171" i="1"/>
  <c r="BX171" i="1" s="1"/>
  <c r="U171" i="1"/>
  <c r="J171" i="1"/>
  <c r="CC170" i="1"/>
  <c r="CA170" i="1"/>
  <c r="BZ170" i="1"/>
  <c r="BX170" i="1"/>
  <c r="BI170" i="1"/>
  <c r="BG170" i="1"/>
  <c r="BF170" i="1"/>
  <c r="AQ170" i="1"/>
  <c r="CE170" i="1" s="1"/>
  <c r="AO170" i="1"/>
  <c r="BY170" i="1" s="1"/>
  <c r="AJ170" i="1"/>
  <c r="BS170" i="1" s="1"/>
  <c r="W170" i="1"/>
  <c r="U170" i="1"/>
  <c r="J170" i="1"/>
  <c r="BY169" i="1"/>
  <c r="BI169" i="1"/>
  <c r="BG169" i="1"/>
  <c r="BF169" i="1"/>
  <c r="AQ169" i="1"/>
  <c r="CE169" i="1" s="1"/>
  <c r="AO169" i="1"/>
  <c r="AJ169" i="1"/>
  <c r="W169" i="1"/>
  <c r="U169" i="1"/>
  <c r="J169" i="1"/>
  <c r="CA168" i="1"/>
  <c r="BI168" i="1"/>
  <c r="BG168" i="1"/>
  <c r="BF168" i="1"/>
  <c r="BZ168" i="1" s="1"/>
  <c r="AQ168" i="1"/>
  <c r="CE168" i="1" s="1"/>
  <c r="AO168" i="1"/>
  <c r="BY168" i="1" s="1"/>
  <c r="AJ168" i="1"/>
  <c r="BS168" i="1" s="1"/>
  <c r="CC168" i="1" s="1"/>
  <c r="W168" i="1"/>
  <c r="BX168" i="1" s="1"/>
  <c r="CB168" i="1" s="1"/>
  <c r="U168" i="1"/>
  <c r="J168" i="1"/>
  <c r="CA167" i="1"/>
  <c r="BZ167" i="1"/>
  <c r="BY167" i="1"/>
  <c r="BX167" i="1"/>
  <c r="CB167" i="1" s="1"/>
  <c r="CD167" i="1" s="1"/>
  <c r="CF167" i="1" s="1"/>
  <c r="BS167" i="1"/>
  <c r="CC167" i="1" s="1"/>
  <c r="BI167" i="1"/>
  <c r="BG167" i="1"/>
  <c r="BF167" i="1"/>
  <c r="AQ167" i="1"/>
  <c r="CE167" i="1" s="1"/>
  <c r="AO167" i="1"/>
  <c r="AJ167" i="1"/>
  <c r="W167" i="1"/>
  <c r="U167" i="1"/>
  <c r="J167" i="1"/>
  <c r="CE166" i="1"/>
  <c r="BY166" i="1"/>
  <c r="BI166" i="1"/>
  <c r="BG166" i="1"/>
  <c r="BF166" i="1"/>
  <c r="AQ166" i="1"/>
  <c r="AO166" i="1"/>
  <c r="AJ166" i="1"/>
  <c r="W166" i="1"/>
  <c r="U166" i="1"/>
  <c r="J166" i="1"/>
  <c r="CA165" i="1"/>
  <c r="BZ165" i="1"/>
  <c r="BI165" i="1"/>
  <c r="BG165" i="1"/>
  <c r="BF165" i="1"/>
  <c r="AQ165" i="1"/>
  <c r="CE165" i="1" s="1"/>
  <c r="AO165" i="1"/>
  <c r="BY165" i="1" s="1"/>
  <c r="AJ165" i="1"/>
  <c r="BS165" i="1" s="1"/>
  <c r="CC165" i="1" s="1"/>
  <c r="W165" i="1"/>
  <c r="BX165" i="1" s="1"/>
  <c r="U165" i="1"/>
  <c r="J165" i="1"/>
  <c r="CA164" i="1"/>
  <c r="BZ164" i="1"/>
  <c r="BX164" i="1"/>
  <c r="BS164" i="1"/>
  <c r="CC164" i="1" s="1"/>
  <c r="BI164" i="1"/>
  <c r="BG164" i="1"/>
  <c r="BF164" i="1"/>
  <c r="AQ164" i="1"/>
  <c r="CE164" i="1" s="1"/>
  <c r="AO164" i="1"/>
  <c r="BY164" i="1" s="1"/>
  <c r="AJ164" i="1"/>
  <c r="W164" i="1"/>
  <c r="U164" i="1"/>
  <c r="J164" i="1"/>
  <c r="CE163" i="1"/>
  <c r="BZ163" i="1"/>
  <c r="BY163" i="1"/>
  <c r="BI163" i="1"/>
  <c r="BG163" i="1"/>
  <c r="BF163" i="1"/>
  <c r="AQ163" i="1"/>
  <c r="AO163" i="1"/>
  <c r="AJ163" i="1"/>
  <c r="W163" i="1"/>
  <c r="U163" i="1"/>
  <c r="J163" i="1"/>
  <c r="CD162" i="1"/>
  <c r="CF162" i="1" s="1"/>
  <c r="CC162" i="1"/>
  <c r="CB162" i="1"/>
  <c r="CA162" i="1"/>
  <c r="BZ162" i="1"/>
  <c r="BI162" i="1"/>
  <c r="BG162" i="1"/>
  <c r="BF162" i="1"/>
  <c r="AQ162" i="1"/>
  <c r="CE162" i="1" s="1"/>
  <c r="AO162" i="1"/>
  <c r="BY162" i="1" s="1"/>
  <c r="AJ162" i="1"/>
  <c r="BS162" i="1" s="1"/>
  <c r="W162" i="1"/>
  <c r="BX162" i="1" s="1"/>
  <c r="U162" i="1"/>
  <c r="J162" i="1"/>
  <c r="CA161" i="1"/>
  <c r="BZ161" i="1"/>
  <c r="BX161" i="1"/>
  <c r="BI161" i="1"/>
  <c r="BG161" i="1"/>
  <c r="BF161" i="1"/>
  <c r="AQ161" i="1"/>
  <c r="CE161" i="1" s="1"/>
  <c r="AO161" i="1"/>
  <c r="BY161" i="1" s="1"/>
  <c r="AJ161" i="1"/>
  <c r="BS161" i="1" s="1"/>
  <c r="CC161" i="1" s="1"/>
  <c r="W161" i="1"/>
  <c r="U161" i="1"/>
  <c r="J161" i="1"/>
  <c r="BY160" i="1"/>
  <c r="BI160" i="1"/>
  <c r="BG160" i="1"/>
  <c r="BF160" i="1"/>
  <c r="AQ160" i="1"/>
  <c r="CE160" i="1" s="1"/>
  <c r="AO160" i="1"/>
  <c r="AJ160" i="1"/>
  <c r="AC160" i="1"/>
  <c r="W160" i="1"/>
  <c r="U160" i="1"/>
  <c r="J160" i="1"/>
  <c r="CE159" i="1"/>
  <c r="BS159" i="1"/>
  <c r="CC159" i="1" s="1"/>
  <c r="BI159" i="1"/>
  <c r="BG159" i="1"/>
  <c r="BF159" i="1"/>
  <c r="CA159" i="1" s="1"/>
  <c r="AQ159" i="1"/>
  <c r="AO159" i="1"/>
  <c r="BY159" i="1" s="1"/>
  <c r="AJ159" i="1"/>
  <c r="AC159" i="1"/>
  <c r="W159" i="1"/>
  <c r="BX159" i="1" s="1"/>
  <c r="U159" i="1"/>
  <c r="J159" i="1"/>
  <c r="F159" i="1"/>
  <c r="BZ159" i="1" s="1"/>
  <c r="CB159" i="1" s="1"/>
  <c r="CD159" i="1" s="1"/>
  <c r="CF159" i="1" s="1"/>
  <c r="BZ158" i="1"/>
  <c r="BI158" i="1"/>
  <c r="BG158" i="1"/>
  <c r="BF158" i="1"/>
  <c r="CA158" i="1" s="1"/>
  <c r="AQ158" i="1"/>
  <c r="AO158" i="1"/>
  <c r="BY158" i="1" s="1"/>
  <c r="AJ158" i="1"/>
  <c r="BS158" i="1" s="1"/>
  <c r="CC158" i="1" s="1"/>
  <c r="AC158" i="1"/>
  <c r="W158" i="1"/>
  <c r="BX158" i="1" s="1"/>
  <c r="CB158" i="1" s="1"/>
  <c r="CD158" i="1" s="1"/>
  <c r="CF158" i="1" s="1"/>
  <c r="U158" i="1"/>
  <c r="J158" i="1"/>
  <c r="F158" i="1"/>
  <c r="CE158" i="1" s="1"/>
  <c r="CA157" i="1"/>
  <c r="BZ157" i="1"/>
  <c r="BX157" i="1"/>
  <c r="BS157" i="1"/>
  <c r="CC157" i="1" s="1"/>
  <c r="BI157" i="1"/>
  <c r="BG157" i="1"/>
  <c r="BF157" i="1"/>
  <c r="AQ157" i="1"/>
  <c r="AO157" i="1"/>
  <c r="AJ157" i="1"/>
  <c r="AC157" i="1"/>
  <c r="W157" i="1"/>
  <c r="U157" i="1"/>
  <c r="J157" i="1"/>
  <c r="E157" i="1"/>
  <c r="CE157" i="1" s="1"/>
  <c r="CB156" i="1"/>
  <c r="CA156" i="1"/>
  <c r="BZ156" i="1"/>
  <c r="BY156" i="1"/>
  <c r="BX156" i="1"/>
  <c r="BI156" i="1"/>
  <c r="BG156" i="1"/>
  <c r="BF156" i="1"/>
  <c r="AQ156" i="1"/>
  <c r="CE156" i="1" s="1"/>
  <c r="AO156" i="1"/>
  <c r="AJ156" i="1"/>
  <c r="BS156" i="1" s="1"/>
  <c r="CC156" i="1" s="1"/>
  <c r="AC156" i="1"/>
  <c r="W156" i="1"/>
  <c r="U156" i="1"/>
  <c r="J156" i="1"/>
  <c r="CE155" i="1"/>
  <c r="BZ155" i="1"/>
  <c r="BY155" i="1"/>
  <c r="BQ155" i="1"/>
  <c r="BI155" i="1"/>
  <c r="BG155" i="1"/>
  <c r="BF155" i="1"/>
  <c r="AQ155" i="1"/>
  <c r="AO155" i="1"/>
  <c r="AJ155" i="1"/>
  <c r="AC155" i="1"/>
  <c r="W155" i="1"/>
  <c r="U155" i="1"/>
  <c r="J155" i="1"/>
  <c r="CC154" i="1"/>
  <c r="BZ154" i="1"/>
  <c r="BX154" i="1"/>
  <c r="BS154" i="1"/>
  <c r="BI154" i="1"/>
  <c r="BG154" i="1"/>
  <c r="BF154" i="1"/>
  <c r="CA154" i="1" s="1"/>
  <c r="AQ154" i="1"/>
  <c r="CE154" i="1" s="1"/>
  <c r="AO154" i="1"/>
  <c r="AJ154" i="1"/>
  <c r="AC154" i="1"/>
  <c r="W154" i="1"/>
  <c r="U154" i="1"/>
  <c r="J154" i="1"/>
  <c r="BZ153" i="1"/>
  <c r="BI153" i="1"/>
  <c r="BG153" i="1"/>
  <c r="BF153" i="1"/>
  <c r="CA153" i="1" s="1"/>
  <c r="AQ153" i="1"/>
  <c r="CE153" i="1" s="1"/>
  <c r="AO153" i="1"/>
  <c r="AJ153" i="1"/>
  <c r="BQ153" i="1" s="1"/>
  <c r="BY153" i="1" s="1"/>
  <c r="AC153" i="1"/>
  <c r="W153" i="1"/>
  <c r="U153" i="1"/>
  <c r="J153" i="1"/>
  <c r="CE152" i="1"/>
  <c r="CA152" i="1"/>
  <c r="BZ152" i="1"/>
  <c r="BI152" i="1"/>
  <c r="BG152" i="1"/>
  <c r="BF152" i="1"/>
  <c r="AQ152" i="1"/>
  <c r="AO152" i="1"/>
  <c r="AJ152" i="1"/>
  <c r="AC152" i="1"/>
  <c r="W152" i="1"/>
  <c r="U152" i="1"/>
  <c r="J152" i="1"/>
  <c r="CC151" i="1"/>
  <c r="CA151" i="1"/>
  <c r="BZ151" i="1"/>
  <c r="BS151" i="1"/>
  <c r="BI151" i="1"/>
  <c r="BG151" i="1"/>
  <c r="BF151" i="1"/>
  <c r="AQ151" i="1"/>
  <c r="AO151" i="1"/>
  <c r="AJ151" i="1"/>
  <c r="AC151" i="1"/>
  <c r="W151" i="1"/>
  <c r="BX151" i="1" s="1"/>
  <c r="U151" i="1"/>
  <c r="J151" i="1"/>
  <c r="CA150" i="1"/>
  <c r="BZ150" i="1"/>
  <c r="BX150" i="1"/>
  <c r="BS150" i="1"/>
  <c r="CC150" i="1" s="1"/>
  <c r="BQ150" i="1"/>
  <c r="BY150" i="1" s="1"/>
  <c r="CB150" i="1" s="1"/>
  <c r="CD150" i="1" s="1"/>
  <c r="CF150" i="1" s="1"/>
  <c r="BI150" i="1"/>
  <c r="BG150" i="1"/>
  <c r="BF150" i="1"/>
  <c r="AQ150" i="1"/>
  <c r="CE150" i="1" s="1"/>
  <c r="AO150" i="1"/>
  <c r="AJ150" i="1"/>
  <c r="AC150" i="1"/>
  <c r="W150" i="1"/>
  <c r="U150" i="1"/>
  <c r="J150" i="1"/>
  <c r="CE149" i="1"/>
  <c r="BZ149" i="1"/>
  <c r="BS149" i="1"/>
  <c r="CC149" i="1" s="1"/>
  <c r="BQ149" i="1"/>
  <c r="BY149" i="1" s="1"/>
  <c r="BI149" i="1"/>
  <c r="BG149" i="1"/>
  <c r="BF149" i="1"/>
  <c r="CA149" i="1" s="1"/>
  <c r="AQ149" i="1"/>
  <c r="AO149" i="1"/>
  <c r="AJ149" i="1"/>
  <c r="AC149" i="1"/>
  <c r="W149" i="1"/>
  <c r="BX149" i="1" s="1"/>
  <c r="CB149" i="1" s="1"/>
  <c r="CD149" i="1" s="1"/>
  <c r="CF149" i="1" s="1"/>
  <c r="U149" i="1"/>
  <c r="J149" i="1"/>
  <c r="CE148" i="1"/>
  <c r="BZ148" i="1"/>
  <c r="BX148" i="1"/>
  <c r="CB148" i="1" s="1"/>
  <c r="BS148" i="1"/>
  <c r="CC148" i="1" s="1"/>
  <c r="BI148" i="1"/>
  <c r="BG148" i="1"/>
  <c r="BF148" i="1"/>
  <c r="CA148" i="1" s="1"/>
  <c r="AQ148" i="1"/>
  <c r="AO148" i="1"/>
  <c r="AJ148" i="1"/>
  <c r="BQ148" i="1" s="1"/>
  <c r="BY148" i="1" s="1"/>
  <c r="AC148" i="1"/>
  <c r="W148" i="1"/>
  <c r="U148" i="1"/>
  <c r="J148" i="1"/>
  <c r="CE147" i="1"/>
  <c r="CA147" i="1"/>
  <c r="BZ147" i="1"/>
  <c r="BI147" i="1"/>
  <c r="BG147" i="1"/>
  <c r="BF147" i="1"/>
  <c r="AQ147" i="1"/>
  <c r="AO147" i="1"/>
  <c r="AJ147" i="1"/>
  <c r="AC147" i="1"/>
  <c r="W147" i="1"/>
  <c r="BX147" i="1" s="1"/>
  <c r="U147" i="1"/>
  <c r="J147" i="1"/>
  <c r="CE146" i="1"/>
  <c r="BZ146" i="1"/>
  <c r="BI146" i="1"/>
  <c r="BG146" i="1"/>
  <c r="BF146" i="1"/>
  <c r="CA146" i="1" s="1"/>
  <c r="AQ146" i="1"/>
  <c r="AO146" i="1"/>
  <c r="AJ146" i="1"/>
  <c r="AC146" i="1"/>
  <c r="W146" i="1"/>
  <c r="U146" i="1"/>
  <c r="J146" i="1"/>
  <c r="CC145" i="1"/>
  <c r="CA145" i="1"/>
  <c r="BZ145" i="1"/>
  <c r="BS145" i="1"/>
  <c r="BI145" i="1"/>
  <c r="BG145" i="1"/>
  <c r="BF145" i="1"/>
  <c r="AQ145" i="1"/>
  <c r="AO145" i="1"/>
  <c r="AJ145" i="1"/>
  <c r="AC145" i="1"/>
  <c r="W145" i="1"/>
  <c r="BX145" i="1" s="1"/>
  <c r="U145" i="1"/>
  <c r="J145" i="1"/>
  <c r="CA144" i="1"/>
  <c r="BZ144" i="1"/>
  <c r="BX144" i="1"/>
  <c r="BI144" i="1"/>
  <c r="BG144" i="1"/>
  <c r="BF144" i="1"/>
  <c r="AQ144" i="1"/>
  <c r="CE144" i="1" s="1"/>
  <c r="AO144" i="1"/>
  <c r="AJ144" i="1"/>
  <c r="BS144" i="1" s="1"/>
  <c r="CC144" i="1" s="1"/>
  <c r="AC144" i="1"/>
  <c r="W144" i="1"/>
  <c r="U144" i="1"/>
  <c r="J144" i="1"/>
  <c r="CE143" i="1"/>
  <c r="BZ143" i="1"/>
  <c r="BY143" i="1"/>
  <c r="BS143" i="1"/>
  <c r="CC143" i="1" s="1"/>
  <c r="BQ143" i="1"/>
  <c r="BI143" i="1"/>
  <c r="BG143" i="1"/>
  <c r="BF143" i="1"/>
  <c r="CA143" i="1" s="1"/>
  <c r="AQ143" i="1"/>
  <c r="AO143" i="1"/>
  <c r="AJ143" i="1"/>
  <c r="AC143" i="1"/>
  <c r="W143" i="1"/>
  <c r="BX143" i="1" s="1"/>
  <c r="U143" i="1"/>
  <c r="J143" i="1"/>
  <c r="BZ142" i="1"/>
  <c r="BI142" i="1"/>
  <c r="BG142" i="1"/>
  <c r="BF142" i="1"/>
  <c r="AQ142" i="1"/>
  <c r="CE142" i="1" s="1"/>
  <c r="AO142" i="1"/>
  <c r="AJ142" i="1"/>
  <c r="AC142" i="1"/>
  <c r="W142" i="1"/>
  <c r="U142" i="1"/>
  <c r="J142" i="1"/>
  <c r="CA141" i="1"/>
  <c r="BZ141" i="1"/>
  <c r="BI141" i="1"/>
  <c r="BG141" i="1"/>
  <c r="BF141" i="1"/>
  <c r="AQ141" i="1"/>
  <c r="BQ141" i="1" s="1"/>
  <c r="BY141" i="1" s="1"/>
  <c r="CB141" i="1" s="1"/>
  <c r="AO141" i="1"/>
  <c r="AJ141" i="1"/>
  <c r="AC141" i="1"/>
  <c r="W141" i="1"/>
  <c r="BX141" i="1" s="1"/>
  <c r="U141" i="1"/>
  <c r="J141" i="1"/>
  <c r="CE140" i="1"/>
  <c r="BZ140" i="1"/>
  <c r="BI140" i="1"/>
  <c r="BG140" i="1"/>
  <c r="BF140" i="1"/>
  <c r="CA140" i="1" s="1"/>
  <c r="AQ140" i="1"/>
  <c r="AO140" i="1"/>
  <c r="AJ140" i="1"/>
  <c r="AC140" i="1"/>
  <c r="W140" i="1"/>
  <c r="U140" i="1"/>
  <c r="J140" i="1"/>
  <c r="CA139" i="1"/>
  <c r="BZ139" i="1"/>
  <c r="BX139" i="1"/>
  <c r="CB139" i="1" s="1"/>
  <c r="BS139" i="1"/>
  <c r="CC139" i="1" s="1"/>
  <c r="BQ139" i="1"/>
  <c r="BY139" i="1" s="1"/>
  <c r="BI139" i="1"/>
  <c r="BG139" i="1"/>
  <c r="BF139" i="1"/>
  <c r="AQ139" i="1"/>
  <c r="CE139" i="1" s="1"/>
  <c r="AO139" i="1"/>
  <c r="AJ139" i="1"/>
  <c r="AC139" i="1"/>
  <c r="W139" i="1"/>
  <c r="U139" i="1"/>
  <c r="J139" i="1"/>
  <c r="CA138" i="1"/>
  <c r="BZ138" i="1"/>
  <c r="BX138" i="1"/>
  <c r="BI138" i="1"/>
  <c r="BG138" i="1"/>
  <c r="BF138" i="1"/>
  <c r="AQ138" i="1"/>
  <c r="CE138" i="1" s="1"/>
  <c r="AO138" i="1"/>
  <c r="AJ138" i="1"/>
  <c r="BS138" i="1" s="1"/>
  <c r="CC138" i="1" s="1"/>
  <c r="AC138" i="1"/>
  <c r="W138" i="1"/>
  <c r="U138" i="1"/>
  <c r="J138" i="1"/>
  <c r="BZ137" i="1"/>
  <c r="BY137" i="1"/>
  <c r="CB137" i="1" s="1"/>
  <c r="BQ137" i="1"/>
  <c r="BI137" i="1"/>
  <c r="BG137" i="1"/>
  <c r="BF137" i="1"/>
  <c r="CA137" i="1" s="1"/>
  <c r="AQ137" i="1"/>
  <c r="CE137" i="1" s="1"/>
  <c r="AO137" i="1"/>
  <c r="AJ137" i="1"/>
  <c r="AC137" i="1"/>
  <c r="W137" i="1"/>
  <c r="BX137" i="1" s="1"/>
  <c r="U137" i="1"/>
  <c r="J137" i="1"/>
  <c r="BZ136" i="1"/>
  <c r="BX136" i="1"/>
  <c r="BS136" i="1"/>
  <c r="CC136" i="1" s="1"/>
  <c r="BI136" i="1"/>
  <c r="BG136" i="1"/>
  <c r="BF136" i="1"/>
  <c r="CA136" i="1" s="1"/>
  <c r="AQ136" i="1"/>
  <c r="CE136" i="1" s="1"/>
  <c r="AO136" i="1"/>
  <c r="AJ136" i="1"/>
  <c r="AC136" i="1"/>
  <c r="W136" i="1"/>
  <c r="U136" i="1"/>
  <c r="J136" i="1"/>
  <c r="BZ135" i="1"/>
  <c r="BX135" i="1"/>
  <c r="BI135" i="1"/>
  <c r="BG135" i="1"/>
  <c r="BF135" i="1"/>
  <c r="CA135" i="1" s="1"/>
  <c r="AQ135" i="1"/>
  <c r="CE135" i="1" s="1"/>
  <c r="AO135" i="1"/>
  <c r="AJ135" i="1"/>
  <c r="AC135" i="1"/>
  <c r="W135" i="1"/>
  <c r="U135" i="1"/>
  <c r="J135" i="1"/>
  <c r="CE134" i="1"/>
  <c r="BZ134" i="1"/>
  <c r="BY134" i="1"/>
  <c r="BX134" i="1"/>
  <c r="BQ134" i="1"/>
  <c r="BI134" i="1"/>
  <c r="BG134" i="1"/>
  <c r="BF134" i="1"/>
  <c r="BS134" i="1" s="1"/>
  <c r="CC134" i="1" s="1"/>
  <c r="AQ134" i="1"/>
  <c r="AO134" i="1"/>
  <c r="AJ134" i="1"/>
  <c r="AC134" i="1"/>
  <c r="W134" i="1"/>
  <c r="U134" i="1"/>
  <c r="J134" i="1"/>
  <c r="CA133" i="1"/>
  <c r="BZ133" i="1"/>
  <c r="BS133" i="1"/>
  <c r="CC133" i="1" s="1"/>
  <c r="BQ133" i="1"/>
  <c r="BY133" i="1" s="1"/>
  <c r="BI133" i="1"/>
  <c r="BG133" i="1"/>
  <c r="BF133" i="1"/>
  <c r="AQ133" i="1"/>
  <c r="CE133" i="1" s="1"/>
  <c r="AO133" i="1"/>
  <c r="AJ133" i="1"/>
  <c r="AC133" i="1"/>
  <c r="W133" i="1"/>
  <c r="BX133" i="1" s="1"/>
  <c r="U133" i="1"/>
  <c r="J133" i="1"/>
  <c r="CE132" i="1"/>
  <c r="BZ132" i="1"/>
  <c r="BY132" i="1"/>
  <c r="BQ132" i="1"/>
  <c r="BI132" i="1"/>
  <c r="BG132" i="1"/>
  <c r="BF132" i="1"/>
  <c r="AQ132" i="1"/>
  <c r="AO132" i="1"/>
  <c r="AJ132" i="1"/>
  <c r="AC132" i="1"/>
  <c r="W132" i="1"/>
  <c r="U132" i="1"/>
  <c r="J132" i="1"/>
  <c r="CA131" i="1"/>
  <c r="BZ131" i="1"/>
  <c r="BI131" i="1"/>
  <c r="BG131" i="1"/>
  <c r="BF131" i="1"/>
  <c r="AQ131" i="1"/>
  <c r="CE131" i="1" s="1"/>
  <c r="AO131" i="1"/>
  <c r="AJ131" i="1"/>
  <c r="AC131" i="1"/>
  <c r="W131" i="1"/>
  <c r="BX131" i="1" s="1"/>
  <c r="U131" i="1"/>
  <c r="J131" i="1"/>
  <c r="CA130" i="1"/>
  <c r="BZ130" i="1"/>
  <c r="BI130" i="1"/>
  <c r="BG130" i="1"/>
  <c r="BF130" i="1"/>
  <c r="AQ130" i="1"/>
  <c r="CE130" i="1" s="1"/>
  <c r="AO130" i="1"/>
  <c r="AJ130" i="1"/>
  <c r="BS130" i="1" s="1"/>
  <c r="CC130" i="1" s="1"/>
  <c r="AC130" i="1"/>
  <c r="W130" i="1"/>
  <c r="BX130" i="1" s="1"/>
  <c r="U130" i="1"/>
  <c r="J130" i="1"/>
  <c r="BZ129" i="1"/>
  <c r="BY129" i="1"/>
  <c r="BX129" i="1"/>
  <c r="BS129" i="1"/>
  <c r="CC129" i="1" s="1"/>
  <c r="BI129" i="1"/>
  <c r="BG129" i="1"/>
  <c r="BF129" i="1"/>
  <c r="CA129" i="1" s="1"/>
  <c r="AQ129" i="1"/>
  <c r="CE129" i="1" s="1"/>
  <c r="AO129" i="1"/>
  <c r="AJ129" i="1"/>
  <c r="BQ129" i="1" s="1"/>
  <c r="AC129" i="1"/>
  <c r="W129" i="1"/>
  <c r="U129" i="1"/>
  <c r="J129" i="1"/>
  <c r="CE128" i="1"/>
  <c r="BZ128" i="1"/>
  <c r="BS128" i="1"/>
  <c r="CC128" i="1" s="1"/>
  <c r="BQ128" i="1"/>
  <c r="BY128" i="1" s="1"/>
  <c r="BI128" i="1"/>
  <c r="BG128" i="1"/>
  <c r="BF128" i="1"/>
  <c r="CA128" i="1" s="1"/>
  <c r="AQ128" i="1"/>
  <c r="AO128" i="1"/>
  <c r="AJ128" i="1"/>
  <c r="AC128" i="1"/>
  <c r="W128" i="1"/>
  <c r="U128" i="1"/>
  <c r="J128" i="1"/>
  <c r="CE127" i="1"/>
  <c r="BQ127" i="1"/>
  <c r="BY127" i="1" s="1"/>
  <c r="BI127" i="1"/>
  <c r="BG127" i="1"/>
  <c r="BF127" i="1"/>
  <c r="AQ127" i="1"/>
  <c r="AO127" i="1"/>
  <c r="AJ127" i="1"/>
  <c r="BS127" i="1" s="1"/>
  <c r="CC127" i="1" s="1"/>
  <c r="AC127" i="1"/>
  <c r="W127" i="1"/>
  <c r="BX127" i="1" s="1"/>
  <c r="U127" i="1"/>
  <c r="J127" i="1"/>
  <c r="CE126" i="1"/>
  <c r="BZ126" i="1"/>
  <c r="BI126" i="1"/>
  <c r="BG126" i="1"/>
  <c r="BF126" i="1"/>
  <c r="AQ126" i="1"/>
  <c r="AO126" i="1"/>
  <c r="AJ126" i="1"/>
  <c r="AC126" i="1"/>
  <c r="W126" i="1"/>
  <c r="U126" i="1"/>
  <c r="J126" i="1"/>
  <c r="CA125" i="1"/>
  <c r="BZ125" i="1"/>
  <c r="BI125" i="1"/>
  <c r="BG125" i="1"/>
  <c r="BF125" i="1"/>
  <c r="AQ125" i="1"/>
  <c r="CE125" i="1" s="1"/>
  <c r="AO125" i="1"/>
  <c r="AJ125" i="1"/>
  <c r="AC125" i="1"/>
  <c r="W125" i="1"/>
  <c r="BX125" i="1" s="1"/>
  <c r="U125" i="1"/>
  <c r="J125" i="1"/>
  <c r="CA124" i="1"/>
  <c r="BZ124" i="1"/>
  <c r="BS124" i="1"/>
  <c r="CC124" i="1" s="1"/>
  <c r="BI124" i="1"/>
  <c r="BG124" i="1"/>
  <c r="BF124" i="1"/>
  <c r="AQ124" i="1"/>
  <c r="CE124" i="1" s="1"/>
  <c r="AO124" i="1"/>
  <c r="AJ124" i="1"/>
  <c r="BQ124" i="1" s="1"/>
  <c r="BY124" i="1" s="1"/>
  <c r="AC124" i="1"/>
  <c r="W124" i="1"/>
  <c r="BX124" i="1" s="1"/>
  <c r="U124" i="1"/>
  <c r="J124" i="1"/>
  <c r="BZ123" i="1"/>
  <c r="BY123" i="1"/>
  <c r="BX123" i="1"/>
  <c r="BS123" i="1"/>
  <c r="CC123" i="1" s="1"/>
  <c r="BI123" i="1"/>
  <c r="BG123" i="1"/>
  <c r="BF123" i="1"/>
  <c r="CA123" i="1" s="1"/>
  <c r="AQ123" i="1"/>
  <c r="CE123" i="1" s="1"/>
  <c r="AO123" i="1"/>
  <c r="AJ123" i="1"/>
  <c r="BQ123" i="1" s="1"/>
  <c r="AC123" i="1"/>
  <c r="W123" i="1"/>
  <c r="U123" i="1"/>
  <c r="J123" i="1"/>
  <c r="CE122" i="1"/>
  <c r="BZ122" i="1"/>
  <c r="BS122" i="1"/>
  <c r="CC122" i="1" s="1"/>
  <c r="BQ122" i="1"/>
  <c r="BY122" i="1" s="1"/>
  <c r="BI122" i="1"/>
  <c r="BG122" i="1"/>
  <c r="BF122" i="1"/>
  <c r="CA122" i="1" s="1"/>
  <c r="AQ122" i="1"/>
  <c r="AO122" i="1"/>
  <c r="AJ122" i="1"/>
  <c r="AC122" i="1"/>
  <c r="W122" i="1"/>
  <c r="U122" i="1"/>
  <c r="J122" i="1"/>
  <c r="CE121" i="1"/>
  <c r="BZ121" i="1"/>
  <c r="BQ121" i="1"/>
  <c r="BY121" i="1" s="1"/>
  <c r="BI121" i="1"/>
  <c r="BG121" i="1"/>
  <c r="BF121" i="1"/>
  <c r="CA121" i="1" s="1"/>
  <c r="AQ121" i="1"/>
  <c r="AO121" i="1"/>
  <c r="AJ121" i="1"/>
  <c r="AC121" i="1"/>
  <c r="W121" i="1"/>
  <c r="BX121" i="1" s="1"/>
  <c r="CB121" i="1" s="1"/>
  <c r="U121" i="1"/>
  <c r="J121" i="1"/>
  <c r="BZ120" i="1"/>
  <c r="BI120" i="1"/>
  <c r="BG120" i="1"/>
  <c r="BF120" i="1"/>
  <c r="AQ120" i="1"/>
  <c r="CE120" i="1" s="1"/>
  <c r="AO120" i="1"/>
  <c r="AJ120" i="1"/>
  <c r="AC120" i="1"/>
  <c r="W120" i="1"/>
  <c r="U120" i="1"/>
  <c r="J120" i="1"/>
  <c r="CA119" i="1"/>
  <c r="BZ119" i="1"/>
  <c r="BI119" i="1"/>
  <c r="BG119" i="1"/>
  <c r="BF119" i="1"/>
  <c r="AQ119" i="1"/>
  <c r="CE119" i="1" s="1"/>
  <c r="AO119" i="1"/>
  <c r="AJ119" i="1"/>
  <c r="AC119" i="1"/>
  <c r="W119" i="1"/>
  <c r="BX119" i="1" s="1"/>
  <c r="U119" i="1"/>
  <c r="J119" i="1"/>
  <c r="CA118" i="1"/>
  <c r="BZ118" i="1"/>
  <c r="BY118" i="1"/>
  <c r="BS118" i="1"/>
  <c r="CC118" i="1" s="1"/>
  <c r="BI118" i="1"/>
  <c r="BG118" i="1"/>
  <c r="BF118" i="1"/>
  <c r="AQ118" i="1"/>
  <c r="CE118" i="1" s="1"/>
  <c r="AO118" i="1"/>
  <c r="AJ118" i="1"/>
  <c r="BQ118" i="1" s="1"/>
  <c r="AC118" i="1"/>
  <c r="W118" i="1"/>
  <c r="BX118" i="1" s="1"/>
  <c r="U118" i="1"/>
  <c r="J118" i="1"/>
  <c r="BZ117" i="1"/>
  <c r="BY117" i="1"/>
  <c r="BX117" i="1"/>
  <c r="CB117" i="1" s="1"/>
  <c r="CD117" i="1" s="1"/>
  <c r="CF117" i="1" s="1"/>
  <c r="BS117" i="1"/>
  <c r="CC117" i="1" s="1"/>
  <c r="BI117" i="1"/>
  <c r="BG117" i="1"/>
  <c r="BF117" i="1"/>
  <c r="CA117" i="1" s="1"/>
  <c r="AQ117" i="1"/>
  <c r="CE117" i="1" s="1"/>
  <c r="AO117" i="1"/>
  <c r="AJ117" i="1"/>
  <c r="BQ117" i="1" s="1"/>
  <c r="AC117" i="1"/>
  <c r="W117" i="1"/>
  <c r="U117" i="1"/>
  <c r="J117" i="1"/>
  <c r="CE116" i="1"/>
  <c r="BZ116" i="1"/>
  <c r="BS116" i="1"/>
  <c r="CC116" i="1" s="1"/>
  <c r="BQ116" i="1"/>
  <c r="BY116" i="1" s="1"/>
  <c r="BI116" i="1"/>
  <c r="BG116" i="1"/>
  <c r="BF116" i="1"/>
  <c r="CA116" i="1" s="1"/>
  <c r="AQ116" i="1"/>
  <c r="AO116" i="1"/>
  <c r="AJ116" i="1"/>
  <c r="AC116" i="1"/>
  <c r="W116" i="1"/>
  <c r="U116" i="1"/>
  <c r="J116" i="1"/>
  <c r="CE115" i="1"/>
  <c r="BZ115" i="1"/>
  <c r="BQ115" i="1"/>
  <c r="BY115" i="1" s="1"/>
  <c r="BI115" i="1"/>
  <c r="BG115" i="1"/>
  <c r="BF115" i="1"/>
  <c r="AQ115" i="1"/>
  <c r="AO115" i="1"/>
  <c r="AJ115" i="1"/>
  <c r="AC115" i="1"/>
  <c r="W115" i="1"/>
  <c r="BX115" i="1" s="1"/>
  <c r="U115" i="1"/>
  <c r="J115" i="1"/>
  <c r="BZ114" i="1"/>
  <c r="BI114" i="1"/>
  <c r="BG114" i="1"/>
  <c r="BF114" i="1"/>
  <c r="AQ114" i="1"/>
  <c r="CE114" i="1" s="1"/>
  <c r="AO114" i="1"/>
  <c r="AJ114" i="1"/>
  <c r="BS114" i="1" s="1"/>
  <c r="CC114" i="1" s="1"/>
  <c r="AC114" i="1"/>
  <c r="W114" i="1"/>
  <c r="U114" i="1"/>
  <c r="J114" i="1"/>
  <c r="CA113" i="1"/>
  <c r="BZ113" i="1"/>
  <c r="BI113" i="1"/>
  <c r="BG113" i="1"/>
  <c r="BF113" i="1"/>
  <c r="AQ113" i="1"/>
  <c r="CE113" i="1" s="1"/>
  <c r="AO113" i="1"/>
  <c r="AJ113" i="1"/>
  <c r="AC113" i="1"/>
  <c r="W113" i="1"/>
  <c r="BX113" i="1" s="1"/>
  <c r="U113" i="1"/>
  <c r="J113" i="1"/>
  <c r="CA112" i="1"/>
  <c r="BZ112" i="1"/>
  <c r="BY112" i="1"/>
  <c r="BS112" i="1"/>
  <c r="CC112" i="1" s="1"/>
  <c r="BI112" i="1"/>
  <c r="BG112" i="1"/>
  <c r="BF112" i="1"/>
  <c r="AQ112" i="1"/>
  <c r="CE112" i="1" s="1"/>
  <c r="AO112" i="1"/>
  <c r="AJ112" i="1"/>
  <c r="BQ112" i="1" s="1"/>
  <c r="AC112" i="1"/>
  <c r="W112" i="1"/>
  <c r="BX112" i="1" s="1"/>
  <c r="U112" i="1"/>
  <c r="J112" i="1"/>
  <c r="BZ111" i="1"/>
  <c r="BY111" i="1"/>
  <c r="BX111" i="1"/>
  <c r="CB111" i="1" s="1"/>
  <c r="BS111" i="1"/>
  <c r="CC111" i="1" s="1"/>
  <c r="BI111" i="1"/>
  <c r="BG111" i="1"/>
  <c r="BF111" i="1"/>
  <c r="CA111" i="1" s="1"/>
  <c r="AQ111" i="1"/>
  <c r="CE111" i="1" s="1"/>
  <c r="AO111" i="1"/>
  <c r="AJ111" i="1"/>
  <c r="BQ111" i="1" s="1"/>
  <c r="AC111" i="1"/>
  <c r="W111" i="1"/>
  <c r="U111" i="1"/>
  <c r="J111" i="1"/>
  <c r="CE110" i="1"/>
  <c r="BZ110" i="1"/>
  <c r="BS110" i="1"/>
  <c r="CC110" i="1" s="1"/>
  <c r="BQ110" i="1"/>
  <c r="BY110" i="1" s="1"/>
  <c r="BI110" i="1"/>
  <c r="BG110" i="1"/>
  <c r="BF110" i="1"/>
  <c r="CA110" i="1" s="1"/>
  <c r="AQ110" i="1"/>
  <c r="AO110" i="1"/>
  <c r="AJ110" i="1"/>
  <c r="AC110" i="1"/>
  <c r="W110" i="1"/>
  <c r="U110" i="1"/>
  <c r="J110" i="1"/>
  <c r="CE109" i="1"/>
  <c r="BZ109" i="1"/>
  <c r="BQ109" i="1"/>
  <c r="BY109" i="1" s="1"/>
  <c r="BI109" i="1"/>
  <c r="BG109" i="1"/>
  <c r="BF109" i="1"/>
  <c r="AQ109" i="1"/>
  <c r="AO109" i="1"/>
  <c r="AJ109" i="1"/>
  <c r="AC109" i="1"/>
  <c r="W109" i="1"/>
  <c r="U109" i="1"/>
  <c r="J109" i="1"/>
  <c r="BI108" i="1"/>
  <c r="BG108" i="1"/>
  <c r="BF108" i="1"/>
  <c r="AQ108" i="1"/>
  <c r="CE108" i="1" s="1"/>
  <c r="AO108" i="1"/>
  <c r="AJ108" i="1"/>
  <c r="AC108" i="1"/>
  <c r="W108" i="1"/>
  <c r="U108" i="1"/>
  <c r="J108" i="1"/>
  <c r="CA107" i="1"/>
  <c r="BZ107" i="1"/>
  <c r="BI107" i="1"/>
  <c r="BG107" i="1"/>
  <c r="BF107" i="1"/>
  <c r="AQ107" i="1"/>
  <c r="CE107" i="1" s="1"/>
  <c r="AO107" i="1"/>
  <c r="AJ107" i="1"/>
  <c r="AC107" i="1"/>
  <c r="W107" i="1"/>
  <c r="BX107" i="1" s="1"/>
  <c r="U107" i="1"/>
  <c r="J107" i="1"/>
  <c r="CA106" i="1"/>
  <c r="BZ106" i="1"/>
  <c r="BY106" i="1"/>
  <c r="BS106" i="1"/>
  <c r="CC106" i="1" s="1"/>
  <c r="BI106" i="1"/>
  <c r="BG106" i="1"/>
  <c r="BF106" i="1"/>
  <c r="AQ106" i="1"/>
  <c r="CE106" i="1" s="1"/>
  <c r="AO106" i="1"/>
  <c r="AJ106" i="1"/>
  <c r="BQ106" i="1" s="1"/>
  <c r="AC106" i="1"/>
  <c r="W106" i="1"/>
  <c r="BX106" i="1" s="1"/>
  <c r="U106" i="1"/>
  <c r="J106" i="1"/>
  <c r="BZ105" i="1"/>
  <c r="BY105" i="1"/>
  <c r="BX105" i="1"/>
  <c r="CB105" i="1" s="1"/>
  <c r="CD105" i="1" s="1"/>
  <c r="CF105" i="1" s="1"/>
  <c r="BS105" i="1"/>
  <c r="CC105" i="1" s="1"/>
  <c r="BI105" i="1"/>
  <c r="BG105" i="1"/>
  <c r="BF105" i="1"/>
  <c r="CA105" i="1" s="1"/>
  <c r="AQ105" i="1"/>
  <c r="CE105" i="1" s="1"/>
  <c r="AO105" i="1"/>
  <c r="AJ105" i="1"/>
  <c r="BQ105" i="1" s="1"/>
  <c r="AC105" i="1"/>
  <c r="W105" i="1"/>
  <c r="U105" i="1"/>
  <c r="J105" i="1"/>
  <c r="CE104" i="1"/>
  <c r="BZ104" i="1"/>
  <c r="BS104" i="1"/>
  <c r="CC104" i="1" s="1"/>
  <c r="BQ104" i="1"/>
  <c r="BY104" i="1" s="1"/>
  <c r="BI104" i="1"/>
  <c r="BG104" i="1"/>
  <c r="BF104" i="1"/>
  <c r="CA104" i="1" s="1"/>
  <c r="AQ104" i="1"/>
  <c r="AO104" i="1"/>
  <c r="AJ104" i="1"/>
  <c r="AC104" i="1"/>
  <c r="W104" i="1"/>
  <c r="U104" i="1"/>
  <c r="J104" i="1"/>
  <c r="CE103" i="1"/>
  <c r="BZ103" i="1"/>
  <c r="BQ103" i="1"/>
  <c r="BY103" i="1" s="1"/>
  <c r="BI103" i="1"/>
  <c r="BG103" i="1"/>
  <c r="BF103" i="1"/>
  <c r="AQ103" i="1"/>
  <c r="AO103" i="1"/>
  <c r="AJ103" i="1"/>
  <c r="AC103" i="1"/>
  <c r="W103" i="1"/>
  <c r="U103" i="1"/>
  <c r="J103" i="1"/>
  <c r="CE102" i="1"/>
  <c r="BZ102" i="1"/>
  <c r="BI102" i="1"/>
  <c r="BG102" i="1"/>
  <c r="BF102" i="1"/>
  <c r="AQ102" i="1"/>
  <c r="AO102" i="1"/>
  <c r="AJ102" i="1"/>
  <c r="AC102" i="1"/>
  <c r="W102" i="1"/>
  <c r="U102" i="1"/>
  <c r="J102" i="1"/>
  <c r="CA101" i="1"/>
  <c r="BI101" i="1"/>
  <c r="BG101" i="1"/>
  <c r="BF101" i="1"/>
  <c r="BZ101" i="1" s="1"/>
  <c r="AQ101" i="1"/>
  <c r="CE101" i="1" s="1"/>
  <c r="AO101" i="1"/>
  <c r="AJ101" i="1"/>
  <c r="AC101" i="1"/>
  <c r="W101" i="1"/>
  <c r="BX101" i="1" s="1"/>
  <c r="U101" i="1"/>
  <c r="CE100" i="1"/>
  <c r="BZ100" i="1"/>
  <c r="BY100" i="1"/>
  <c r="BX100" i="1"/>
  <c r="CB100" i="1" s="1"/>
  <c r="CD100" i="1" s="1"/>
  <c r="CF100" i="1" s="1"/>
  <c r="BQ100" i="1"/>
  <c r="BI100" i="1"/>
  <c r="BG100" i="1"/>
  <c r="BF100" i="1"/>
  <c r="CA100" i="1" s="1"/>
  <c r="AQ100" i="1"/>
  <c r="AO100" i="1"/>
  <c r="AJ100" i="1"/>
  <c r="BS100" i="1" s="1"/>
  <c r="CC100" i="1" s="1"/>
  <c r="AC100" i="1"/>
  <c r="W100" i="1"/>
  <c r="U100" i="1"/>
  <c r="J100" i="1"/>
  <c r="CA99" i="1"/>
  <c r="BZ99" i="1"/>
  <c r="BX99" i="1"/>
  <c r="CB99" i="1" s="1"/>
  <c r="CD99" i="1" s="1"/>
  <c r="BS99" i="1"/>
  <c r="CC99" i="1" s="1"/>
  <c r="BQ99" i="1"/>
  <c r="BY99" i="1" s="1"/>
  <c r="BI99" i="1"/>
  <c r="BG99" i="1"/>
  <c r="BF99" i="1"/>
  <c r="AQ99" i="1"/>
  <c r="CE99" i="1" s="1"/>
  <c r="AO99" i="1"/>
  <c r="AJ99" i="1"/>
  <c r="AC99" i="1"/>
  <c r="W99" i="1"/>
  <c r="U99" i="1"/>
  <c r="J99" i="1"/>
  <c r="CA98" i="1"/>
  <c r="BX98" i="1"/>
  <c r="BS98" i="1"/>
  <c r="CC98" i="1" s="1"/>
  <c r="BQ98" i="1"/>
  <c r="BY98" i="1" s="1"/>
  <c r="BI98" i="1"/>
  <c r="BG98" i="1"/>
  <c r="BF98" i="1"/>
  <c r="BZ98" i="1" s="1"/>
  <c r="AQ98" i="1"/>
  <c r="CE98" i="1" s="1"/>
  <c r="AO98" i="1"/>
  <c r="AJ98" i="1"/>
  <c r="AC98" i="1"/>
  <c r="U98" i="1"/>
  <c r="J98" i="1"/>
  <c r="BZ97" i="1"/>
  <c r="BI97" i="1"/>
  <c r="BG97" i="1"/>
  <c r="BF97" i="1"/>
  <c r="AQ97" i="1"/>
  <c r="AO97" i="1"/>
  <c r="AJ97" i="1"/>
  <c r="AC97" i="1"/>
  <c r="W97" i="1"/>
  <c r="U97" i="1"/>
  <c r="J97" i="1"/>
  <c r="CA96" i="1"/>
  <c r="BZ96" i="1"/>
  <c r="BI96" i="1"/>
  <c r="BG96" i="1"/>
  <c r="BF96" i="1"/>
  <c r="AQ96" i="1"/>
  <c r="CE96" i="1" s="1"/>
  <c r="AO96" i="1"/>
  <c r="AJ96" i="1"/>
  <c r="AC96" i="1"/>
  <c r="W96" i="1"/>
  <c r="BX96" i="1" s="1"/>
  <c r="U96" i="1"/>
  <c r="J96" i="1"/>
  <c r="CA95" i="1"/>
  <c r="BZ95" i="1"/>
  <c r="BY95" i="1"/>
  <c r="BS95" i="1"/>
  <c r="CC95" i="1" s="1"/>
  <c r="BI95" i="1"/>
  <c r="BG95" i="1"/>
  <c r="BF95" i="1"/>
  <c r="AQ95" i="1"/>
  <c r="CE95" i="1" s="1"/>
  <c r="AO95" i="1"/>
  <c r="AJ95" i="1"/>
  <c r="BQ95" i="1" s="1"/>
  <c r="AC95" i="1"/>
  <c r="W95" i="1"/>
  <c r="BX95" i="1" s="1"/>
  <c r="U95" i="1"/>
  <c r="J95" i="1"/>
  <c r="CA94" i="1"/>
  <c r="BZ94" i="1"/>
  <c r="BX94" i="1"/>
  <c r="BS94" i="1"/>
  <c r="CC94" i="1" s="1"/>
  <c r="BI94" i="1"/>
  <c r="BG94" i="1"/>
  <c r="BF94" i="1"/>
  <c r="AQ94" i="1"/>
  <c r="CE94" i="1" s="1"/>
  <c r="AO94" i="1"/>
  <c r="AJ94" i="1"/>
  <c r="BQ94" i="1" s="1"/>
  <c r="BY94" i="1" s="1"/>
  <c r="AC94" i="1"/>
  <c r="W94" i="1"/>
  <c r="U94" i="1"/>
  <c r="J94" i="1"/>
  <c r="CE93" i="1"/>
  <c r="BZ93" i="1"/>
  <c r="BS93" i="1"/>
  <c r="CC93" i="1" s="1"/>
  <c r="BQ93" i="1"/>
  <c r="BY93" i="1" s="1"/>
  <c r="BI93" i="1"/>
  <c r="BG93" i="1"/>
  <c r="BF93" i="1"/>
  <c r="CA93" i="1" s="1"/>
  <c r="AQ93" i="1"/>
  <c r="AO93" i="1"/>
  <c r="AJ93" i="1"/>
  <c r="AC93" i="1"/>
  <c r="W93" i="1"/>
  <c r="U93" i="1"/>
  <c r="J93" i="1"/>
  <c r="CE92" i="1"/>
  <c r="BZ92" i="1"/>
  <c r="BQ92" i="1"/>
  <c r="BY92" i="1" s="1"/>
  <c r="BI92" i="1"/>
  <c r="BG92" i="1"/>
  <c r="BF92" i="1"/>
  <c r="AQ92" i="1"/>
  <c r="AO92" i="1"/>
  <c r="AJ92" i="1"/>
  <c r="AC92" i="1"/>
  <c r="W92" i="1"/>
  <c r="U92" i="1"/>
  <c r="J92" i="1"/>
  <c r="CE91" i="1"/>
  <c r="CC91" i="1"/>
  <c r="CA91" i="1"/>
  <c r="BZ91" i="1"/>
  <c r="BI91" i="1"/>
  <c r="BG91" i="1"/>
  <c r="BF91" i="1"/>
  <c r="BX91" i="1" s="1"/>
  <c r="AQ91" i="1"/>
  <c r="BQ91" i="1" s="1"/>
  <c r="AO91" i="1"/>
  <c r="AJ91" i="1"/>
  <c r="BS91" i="1" s="1"/>
  <c r="AC91" i="1"/>
  <c r="W91" i="1"/>
  <c r="U91" i="1"/>
  <c r="J91" i="1"/>
  <c r="CA90" i="1"/>
  <c r="BZ90" i="1"/>
  <c r="BI90" i="1"/>
  <c r="BG90" i="1"/>
  <c r="BF90" i="1"/>
  <c r="AQ90" i="1"/>
  <c r="CE90" i="1" s="1"/>
  <c r="AO90" i="1"/>
  <c r="AJ90" i="1"/>
  <c r="AC90" i="1"/>
  <c r="W90" i="1"/>
  <c r="BX90" i="1" s="1"/>
  <c r="U90" i="1"/>
  <c r="J90" i="1"/>
  <c r="CA89" i="1"/>
  <c r="BZ89" i="1"/>
  <c r="BS89" i="1"/>
  <c r="CC89" i="1" s="1"/>
  <c r="BI89" i="1"/>
  <c r="BG89" i="1"/>
  <c r="BF89" i="1"/>
  <c r="AQ89" i="1"/>
  <c r="CE89" i="1" s="1"/>
  <c r="AO89" i="1"/>
  <c r="AJ89" i="1"/>
  <c r="BQ89" i="1" s="1"/>
  <c r="BY89" i="1" s="1"/>
  <c r="AC89" i="1"/>
  <c r="W89" i="1"/>
  <c r="BX89" i="1" s="1"/>
  <c r="U89" i="1"/>
  <c r="J89" i="1"/>
  <c r="CA88" i="1"/>
  <c r="BZ88" i="1"/>
  <c r="BY88" i="1"/>
  <c r="BX88" i="1"/>
  <c r="BS88" i="1"/>
  <c r="CC88" i="1" s="1"/>
  <c r="BI88" i="1"/>
  <c r="BG88" i="1"/>
  <c r="BF88" i="1"/>
  <c r="AQ88" i="1"/>
  <c r="CE88" i="1" s="1"/>
  <c r="AO88" i="1"/>
  <c r="AJ88" i="1"/>
  <c r="BQ88" i="1" s="1"/>
  <c r="AC88" i="1"/>
  <c r="W88" i="1"/>
  <c r="U88" i="1"/>
  <c r="J88" i="1"/>
  <c r="CE87" i="1"/>
  <c r="BZ87" i="1"/>
  <c r="BS87" i="1"/>
  <c r="CC87" i="1" s="1"/>
  <c r="BI87" i="1"/>
  <c r="BG87" i="1"/>
  <c r="BF87" i="1"/>
  <c r="AQ87" i="1"/>
  <c r="AO87" i="1"/>
  <c r="AJ87" i="1"/>
  <c r="BQ87" i="1" s="1"/>
  <c r="BY87" i="1" s="1"/>
  <c r="AC87" i="1"/>
  <c r="W87" i="1"/>
  <c r="U87" i="1"/>
  <c r="J87" i="1"/>
  <c r="CE86" i="1"/>
  <c r="BQ86" i="1"/>
  <c r="BI86" i="1"/>
  <c r="BG86" i="1"/>
  <c r="BF86" i="1"/>
  <c r="AQ86" i="1"/>
  <c r="AO86" i="1"/>
  <c r="AJ86" i="1"/>
  <c r="AC86" i="1"/>
  <c r="W86" i="1"/>
  <c r="BX86" i="1" s="1"/>
  <c r="U86" i="1"/>
  <c r="J86" i="1"/>
  <c r="BZ85" i="1"/>
  <c r="BI85" i="1"/>
  <c r="BG85" i="1"/>
  <c r="BF85" i="1"/>
  <c r="AQ85" i="1"/>
  <c r="BQ85" i="1" s="1"/>
  <c r="BY85" i="1" s="1"/>
  <c r="AO85" i="1"/>
  <c r="AJ85" i="1"/>
  <c r="AC85" i="1"/>
  <c r="W85" i="1"/>
  <c r="U85" i="1"/>
  <c r="J85" i="1"/>
  <c r="CA84" i="1"/>
  <c r="BZ84" i="1"/>
  <c r="BY84" i="1"/>
  <c r="BQ84" i="1"/>
  <c r="BI84" i="1"/>
  <c r="BG84" i="1"/>
  <c r="BF84" i="1"/>
  <c r="AQ84" i="1"/>
  <c r="CE84" i="1" s="1"/>
  <c r="AO84" i="1"/>
  <c r="AJ84" i="1"/>
  <c r="BS84" i="1" s="1"/>
  <c r="CC84" i="1" s="1"/>
  <c r="AC84" i="1"/>
  <c r="W84" i="1"/>
  <c r="BX84" i="1" s="1"/>
  <c r="U84" i="1"/>
  <c r="J84" i="1"/>
  <c r="CA83" i="1"/>
  <c r="BZ83" i="1"/>
  <c r="BS83" i="1"/>
  <c r="CC83" i="1" s="1"/>
  <c r="BI83" i="1"/>
  <c r="BG83" i="1"/>
  <c r="BF83" i="1"/>
  <c r="AQ83" i="1"/>
  <c r="CE83" i="1" s="1"/>
  <c r="AO83" i="1"/>
  <c r="AJ83" i="1"/>
  <c r="BQ83" i="1" s="1"/>
  <c r="BY83" i="1" s="1"/>
  <c r="AC83" i="1"/>
  <c r="W83" i="1"/>
  <c r="BX83" i="1" s="1"/>
  <c r="CB83" i="1" s="1"/>
  <c r="CD83" i="1" s="1"/>
  <c r="CF83" i="1" s="1"/>
  <c r="U83" i="1"/>
  <c r="J83" i="1"/>
  <c r="CE82" i="1"/>
  <c r="BZ82" i="1"/>
  <c r="BY82" i="1"/>
  <c r="BS82" i="1"/>
  <c r="CC82" i="1" s="1"/>
  <c r="BI82" i="1"/>
  <c r="BG82" i="1"/>
  <c r="BF82" i="1"/>
  <c r="AZ82" i="1"/>
  <c r="CA82" i="1" s="1"/>
  <c r="AQ82" i="1"/>
  <c r="AO82" i="1"/>
  <c r="AJ82" i="1"/>
  <c r="AC82" i="1"/>
  <c r="W82" i="1"/>
  <c r="BP82" i="1" s="1"/>
  <c r="BX82" i="1" s="1"/>
  <c r="CB82" i="1" s="1"/>
  <c r="CD82" i="1" s="1"/>
  <c r="CF82" i="1" s="1"/>
  <c r="U82" i="1"/>
  <c r="J82" i="1"/>
  <c r="CA81" i="1"/>
  <c r="BZ81" i="1"/>
  <c r="BY81" i="1"/>
  <c r="BI81" i="1"/>
  <c r="BG81" i="1"/>
  <c r="BF81" i="1"/>
  <c r="AQ81" i="1"/>
  <c r="CE81" i="1" s="1"/>
  <c r="AJ81" i="1"/>
  <c r="BS81" i="1" s="1"/>
  <c r="CC81" i="1" s="1"/>
  <c r="AC81" i="1"/>
  <c r="W81" i="1"/>
  <c r="U81" i="1"/>
  <c r="J81" i="1"/>
  <c r="BZ80" i="1"/>
  <c r="BI80" i="1"/>
  <c r="BG80" i="1"/>
  <c r="BF80" i="1"/>
  <c r="CA80" i="1" s="1"/>
  <c r="AZ80" i="1"/>
  <c r="AQ80" i="1"/>
  <c r="CE80" i="1" s="1"/>
  <c r="AO80" i="1"/>
  <c r="BY80" i="1" s="1"/>
  <c r="AJ80" i="1"/>
  <c r="AC80" i="1"/>
  <c r="W80" i="1"/>
  <c r="U80" i="1"/>
  <c r="J80" i="1"/>
  <c r="CE79" i="1"/>
  <c r="CB79" i="1"/>
  <c r="CD79" i="1" s="1"/>
  <c r="CF79" i="1" s="1"/>
  <c r="BZ79" i="1"/>
  <c r="BY79" i="1"/>
  <c r="BI79" i="1"/>
  <c r="BG79" i="1"/>
  <c r="BF79" i="1"/>
  <c r="BS79" i="1" s="1"/>
  <c r="CC79" i="1" s="1"/>
  <c r="AZ79" i="1"/>
  <c r="CA79" i="1" s="1"/>
  <c r="AQ79" i="1"/>
  <c r="AO79" i="1"/>
  <c r="AJ79" i="1"/>
  <c r="AC79" i="1"/>
  <c r="W79" i="1"/>
  <c r="BP79" i="1" s="1"/>
  <c r="BX79" i="1" s="1"/>
  <c r="U79" i="1"/>
  <c r="J79" i="1"/>
  <c r="BZ78" i="1"/>
  <c r="BY78" i="1"/>
  <c r="BI78" i="1"/>
  <c r="BG78" i="1"/>
  <c r="BF78" i="1"/>
  <c r="AZ78" i="1"/>
  <c r="CA78" i="1" s="1"/>
  <c r="AQ78" i="1"/>
  <c r="CE78" i="1" s="1"/>
  <c r="AO78" i="1"/>
  <c r="AJ78" i="1"/>
  <c r="AC78" i="1"/>
  <c r="W78" i="1"/>
  <c r="U78" i="1"/>
  <c r="J78" i="1"/>
  <c r="BZ77" i="1"/>
  <c r="BY77" i="1"/>
  <c r="BI77" i="1"/>
  <c r="BG77" i="1"/>
  <c r="BF77" i="1"/>
  <c r="CA77" i="1" s="1"/>
  <c r="AQ77" i="1"/>
  <c r="CE77" i="1" s="1"/>
  <c r="AJ77" i="1"/>
  <c r="BS77" i="1" s="1"/>
  <c r="CC77" i="1" s="1"/>
  <c r="AC77" i="1"/>
  <c r="W77" i="1"/>
  <c r="U77" i="1"/>
  <c r="J77" i="1"/>
  <c r="CA76" i="1"/>
  <c r="BZ76" i="1"/>
  <c r="BI76" i="1"/>
  <c r="BG76" i="1"/>
  <c r="BF76" i="1"/>
  <c r="AZ76" i="1"/>
  <c r="AQ76" i="1"/>
  <c r="CE76" i="1" s="1"/>
  <c r="AO76" i="1"/>
  <c r="BY76" i="1" s="1"/>
  <c r="AJ76" i="1"/>
  <c r="BS76" i="1" s="1"/>
  <c r="CC76" i="1" s="1"/>
  <c r="AC76" i="1"/>
  <c r="W76" i="1"/>
  <c r="U76" i="1"/>
  <c r="J76" i="1"/>
  <c r="CC75" i="1"/>
  <c r="CA75" i="1"/>
  <c r="BZ75" i="1"/>
  <c r="BY75" i="1"/>
  <c r="BI75" i="1"/>
  <c r="BG75" i="1"/>
  <c r="BF75" i="1"/>
  <c r="AZ75" i="1"/>
  <c r="AQ75" i="1"/>
  <c r="CE75" i="1" s="1"/>
  <c r="AO75" i="1"/>
  <c r="AJ75" i="1"/>
  <c r="BS75" i="1" s="1"/>
  <c r="AC75" i="1"/>
  <c r="W75" i="1"/>
  <c r="U75" i="1"/>
  <c r="J75" i="1"/>
  <c r="CE74" i="1"/>
  <c r="BZ74" i="1"/>
  <c r="BY74" i="1"/>
  <c r="BI74" i="1"/>
  <c r="BG74" i="1"/>
  <c r="BF74" i="1"/>
  <c r="BS74" i="1" s="1"/>
  <c r="CC74" i="1" s="1"/>
  <c r="AZ74" i="1"/>
  <c r="AQ74" i="1"/>
  <c r="AO74" i="1"/>
  <c r="AJ74" i="1"/>
  <c r="AC74" i="1"/>
  <c r="W74" i="1"/>
  <c r="U74" i="1"/>
  <c r="J74" i="1"/>
  <c r="CA73" i="1"/>
  <c r="BZ73" i="1"/>
  <c r="BY73" i="1"/>
  <c r="BI73" i="1"/>
  <c r="BG73" i="1"/>
  <c r="BF73" i="1"/>
  <c r="AZ73" i="1"/>
  <c r="AQ73" i="1"/>
  <c r="CE73" i="1" s="1"/>
  <c r="AO73" i="1"/>
  <c r="AJ73" i="1"/>
  <c r="AC73" i="1"/>
  <c r="W73" i="1"/>
  <c r="U73" i="1"/>
  <c r="J73" i="1"/>
  <c r="BZ72" i="1"/>
  <c r="BY72" i="1"/>
  <c r="BX72" i="1"/>
  <c r="CB72" i="1" s="1"/>
  <c r="BS72" i="1"/>
  <c r="CC72" i="1" s="1"/>
  <c r="BI72" i="1"/>
  <c r="BG72" i="1"/>
  <c r="BF72" i="1"/>
  <c r="CA72" i="1" s="1"/>
  <c r="AZ72" i="1"/>
  <c r="AQ72" i="1"/>
  <c r="CE72" i="1" s="1"/>
  <c r="AO72" i="1"/>
  <c r="AJ72" i="1"/>
  <c r="AC72" i="1"/>
  <c r="W72" i="1"/>
  <c r="BP72" i="1" s="1"/>
  <c r="U72" i="1"/>
  <c r="J72" i="1"/>
  <c r="CE71" i="1"/>
  <c r="CA71" i="1"/>
  <c r="BZ71" i="1"/>
  <c r="BS71" i="1"/>
  <c r="CC71" i="1" s="1"/>
  <c r="BP71" i="1"/>
  <c r="BX71" i="1" s="1"/>
  <c r="CB71" i="1" s="1"/>
  <c r="CD71" i="1" s="1"/>
  <c r="CF71" i="1" s="1"/>
  <c r="BI71" i="1"/>
  <c r="BG71" i="1"/>
  <c r="BF71" i="1"/>
  <c r="AZ71" i="1"/>
  <c r="AQ71" i="1"/>
  <c r="AO71" i="1"/>
  <c r="BY71" i="1" s="1"/>
  <c r="AJ71" i="1"/>
  <c r="AC71" i="1"/>
  <c r="W71" i="1"/>
  <c r="U71" i="1"/>
  <c r="J71" i="1"/>
  <c r="BZ70" i="1"/>
  <c r="BI70" i="1"/>
  <c r="BG70" i="1"/>
  <c r="BF70" i="1"/>
  <c r="BS70" i="1" s="1"/>
  <c r="CC70" i="1" s="1"/>
  <c r="AZ70" i="1"/>
  <c r="CA70" i="1" s="1"/>
  <c r="AQ70" i="1"/>
  <c r="CE70" i="1" s="1"/>
  <c r="AO70" i="1"/>
  <c r="BY70" i="1" s="1"/>
  <c r="AJ70" i="1"/>
  <c r="AC70" i="1"/>
  <c r="W70" i="1"/>
  <c r="BP70" i="1" s="1"/>
  <c r="BX70" i="1" s="1"/>
  <c r="CB70" i="1" s="1"/>
  <c r="CD70" i="1" s="1"/>
  <c r="CF70" i="1" s="1"/>
  <c r="U70" i="1"/>
  <c r="J70" i="1"/>
  <c r="CE69" i="1"/>
  <c r="BZ69" i="1"/>
  <c r="BI69" i="1"/>
  <c r="BG69" i="1"/>
  <c r="BF69" i="1"/>
  <c r="BS69" i="1" s="1"/>
  <c r="CC69" i="1" s="1"/>
  <c r="AZ69" i="1"/>
  <c r="CA69" i="1" s="1"/>
  <c r="AQ69" i="1"/>
  <c r="AO69" i="1"/>
  <c r="BY69" i="1" s="1"/>
  <c r="AJ69" i="1"/>
  <c r="AC69" i="1"/>
  <c r="W69" i="1"/>
  <c r="U69" i="1"/>
  <c r="BP69" i="1" s="1"/>
  <c r="BX69" i="1" s="1"/>
  <c r="J69" i="1"/>
  <c r="BY68" i="1"/>
  <c r="BI68" i="1"/>
  <c r="BG68" i="1"/>
  <c r="BF68" i="1"/>
  <c r="CA68" i="1" s="1"/>
  <c r="AQ68" i="1"/>
  <c r="CE68" i="1" s="1"/>
  <c r="AJ68" i="1"/>
  <c r="BS68" i="1" s="1"/>
  <c r="CC68" i="1" s="1"/>
  <c r="AC68" i="1"/>
  <c r="W68" i="1"/>
  <c r="U68" i="1"/>
  <c r="J68" i="1"/>
  <c r="CE67" i="1"/>
  <c r="CA67" i="1"/>
  <c r="BZ67" i="1"/>
  <c r="BY67" i="1"/>
  <c r="BI67" i="1"/>
  <c r="BG67" i="1"/>
  <c r="BF67" i="1"/>
  <c r="AQ67" i="1"/>
  <c r="AJ67" i="1"/>
  <c r="BS67" i="1" s="1"/>
  <c r="CC67" i="1" s="1"/>
  <c r="AC67" i="1"/>
  <c r="W67" i="1"/>
  <c r="U67" i="1"/>
  <c r="J67" i="1"/>
  <c r="CA66" i="1"/>
  <c r="BZ66" i="1"/>
  <c r="BS66" i="1"/>
  <c r="CC66" i="1" s="1"/>
  <c r="BI66" i="1"/>
  <c r="BG66" i="1"/>
  <c r="BF66" i="1"/>
  <c r="AZ66" i="1"/>
  <c r="AQ66" i="1"/>
  <c r="CE66" i="1" s="1"/>
  <c r="AO66" i="1"/>
  <c r="BY66" i="1" s="1"/>
  <c r="AJ66" i="1"/>
  <c r="AC66" i="1"/>
  <c r="W66" i="1"/>
  <c r="U66" i="1"/>
  <c r="BP66" i="1" s="1"/>
  <c r="BX66" i="1" s="1"/>
  <c r="CB66" i="1" s="1"/>
  <c r="CD66" i="1" s="1"/>
  <c r="CF66" i="1" s="1"/>
  <c r="J66" i="1"/>
  <c r="CA65" i="1"/>
  <c r="BZ65" i="1"/>
  <c r="BS65" i="1"/>
  <c r="CC65" i="1" s="1"/>
  <c r="BP65" i="1"/>
  <c r="BX65" i="1" s="1"/>
  <c r="CB65" i="1" s="1"/>
  <c r="CD65" i="1" s="1"/>
  <c r="BI65" i="1"/>
  <c r="BG65" i="1"/>
  <c r="BF65" i="1"/>
  <c r="AZ65" i="1"/>
  <c r="AQ65" i="1"/>
  <c r="CE65" i="1" s="1"/>
  <c r="AO65" i="1"/>
  <c r="BY65" i="1" s="1"/>
  <c r="AJ65" i="1"/>
  <c r="AC65" i="1"/>
  <c r="W65" i="1"/>
  <c r="U65" i="1"/>
  <c r="J65" i="1"/>
  <c r="CE64" i="1"/>
  <c r="CA64" i="1"/>
  <c r="BZ64" i="1"/>
  <c r="BP64" i="1"/>
  <c r="BX64" i="1" s="1"/>
  <c r="CB64" i="1" s="1"/>
  <c r="CD64" i="1" s="1"/>
  <c r="CF64" i="1" s="1"/>
  <c r="BI64" i="1"/>
  <c r="BG64" i="1"/>
  <c r="BF64" i="1"/>
  <c r="AZ64" i="1"/>
  <c r="AQ64" i="1"/>
  <c r="AO64" i="1"/>
  <c r="BY64" i="1" s="1"/>
  <c r="AJ64" i="1"/>
  <c r="BS64" i="1" s="1"/>
  <c r="CC64" i="1" s="1"/>
  <c r="AC64" i="1"/>
  <c r="W64" i="1"/>
  <c r="U64" i="1"/>
  <c r="J64" i="1"/>
  <c r="CE63" i="1"/>
  <c r="BZ63" i="1"/>
  <c r="BY63" i="1"/>
  <c r="BI63" i="1"/>
  <c r="BG63" i="1"/>
  <c r="BF63" i="1"/>
  <c r="CA63" i="1" s="1"/>
  <c r="AJ63" i="1"/>
  <c r="AC63" i="1"/>
  <c r="W63" i="1"/>
  <c r="U63" i="1"/>
  <c r="J63" i="1"/>
  <c r="CC62" i="1"/>
  <c r="CA62" i="1"/>
  <c r="BZ62" i="1"/>
  <c r="BP62" i="1"/>
  <c r="BX62" i="1" s="1"/>
  <c r="CB62" i="1" s="1"/>
  <c r="CD62" i="1" s="1"/>
  <c r="CF62" i="1" s="1"/>
  <c r="BI62" i="1"/>
  <c r="BG62" i="1"/>
  <c r="BF62" i="1"/>
  <c r="AZ62" i="1"/>
  <c r="AQ62" i="1"/>
  <c r="CE62" i="1" s="1"/>
  <c r="AO62" i="1"/>
  <c r="BY62" i="1" s="1"/>
  <c r="AJ62" i="1"/>
  <c r="BS62" i="1" s="1"/>
  <c r="AC62" i="1"/>
  <c r="W62" i="1"/>
  <c r="U62" i="1"/>
  <c r="J62" i="1"/>
  <c r="CA61" i="1"/>
  <c r="BZ61" i="1"/>
  <c r="BI61" i="1"/>
  <c r="BG61" i="1"/>
  <c r="BF61" i="1"/>
  <c r="AZ61" i="1"/>
  <c r="AQ61" i="1"/>
  <c r="CE61" i="1" s="1"/>
  <c r="AO61" i="1"/>
  <c r="BY61" i="1" s="1"/>
  <c r="AJ61" i="1"/>
  <c r="AC61" i="1"/>
  <c r="W61" i="1"/>
  <c r="U61" i="1"/>
  <c r="J61" i="1"/>
  <c r="CE60" i="1"/>
  <c r="CA60" i="1"/>
  <c r="BZ60" i="1"/>
  <c r="BI60" i="1"/>
  <c r="BG60" i="1"/>
  <c r="BF60" i="1"/>
  <c r="AZ60" i="1"/>
  <c r="AQ60" i="1"/>
  <c r="AO60" i="1"/>
  <c r="BY60" i="1" s="1"/>
  <c r="AJ60" i="1"/>
  <c r="BS60" i="1" s="1"/>
  <c r="CC60" i="1" s="1"/>
  <c r="AC60" i="1"/>
  <c r="W60" i="1"/>
  <c r="BP60" i="1" s="1"/>
  <c r="BX60" i="1" s="1"/>
  <c r="U60" i="1"/>
  <c r="J60" i="1"/>
  <c r="CE59" i="1"/>
  <c r="BZ59" i="1"/>
  <c r="BY59" i="1"/>
  <c r="BI59" i="1"/>
  <c r="BG59" i="1"/>
  <c r="BF59" i="1"/>
  <c r="CA59" i="1" s="1"/>
  <c r="AZ59" i="1"/>
  <c r="AQ59" i="1"/>
  <c r="AO59" i="1"/>
  <c r="AJ59" i="1"/>
  <c r="BS59" i="1" s="1"/>
  <c r="CC59" i="1" s="1"/>
  <c r="AC59" i="1"/>
  <c r="W59" i="1"/>
  <c r="BP59" i="1" s="1"/>
  <c r="BX59" i="1" s="1"/>
  <c r="CB59" i="1" s="1"/>
  <c r="CD59" i="1" s="1"/>
  <c r="CF59" i="1" s="1"/>
  <c r="U59" i="1"/>
  <c r="J59" i="1"/>
  <c r="BZ58" i="1"/>
  <c r="BY58" i="1"/>
  <c r="BX58" i="1"/>
  <c r="CB58" i="1" s="1"/>
  <c r="CD58" i="1" s="1"/>
  <c r="CF58" i="1" s="1"/>
  <c r="BI58" i="1"/>
  <c r="BG58" i="1"/>
  <c r="BF58" i="1"/>
  <c r="AZ58" i="1"/>
  <c r="CA58" i="1" s="1"/>
  <c r="AQ58" i="1"/>
  <c r="CE58" i="1" s="1"/>
  <c r="AO58" i="1"/>
  <c r="AJ58" i="1"/>
  <c r="BS58" i="1" s="1"/>
  <c r="CC58" i="1" s="1"/>
  <c r="AC58" i="1"/>
  <c r="W58" i="1"/>
  <c r="BP58" i="1" s="1"/>
  <c r="U58" i="1"/>
  <c r="J58" i="1"/>
  <c r="CA57" i="1"/>
  <c r="BZ57" i="1"/>
  <c r="BS57" i="1"/>
  <c r="CC57" i="1" s="1"/>
  <c r="BI57" i="1"/>
  <c r="BG57" i="1"/>
  <c r="BF57" i="1"/>
  <c r="AQ57" i="1"/>
  <c r="CE57" i="1" s="1"/>
  <c r="AO57" i="1"/>
  <c r="BY57" i="1" s="1"/>
  <c r="AJ57" i="1"/>
  <c r="AC57" i="1"/>
  <c r="W57" i="1"/>
  <c r="BP57" i="1" s="1"/>
  <c r="BX57" i="1" s="1"/>
  <c r="CB57" i="1" s="1"/>
  <c r="CD57" i="1" s="1"/>
  <c r="CF57" i="1" s="1"/>
  <c r="U57" i="1"/>
  <c r="J57" i="1"/>
  <c r="CA56" i="1"/>
  <c r="BZ56" i="1"/>
  <c r="BY56" i="1"/>
  <c r="BP56" i="1"/>
  <c r="BX56" i="1" s="1"/>
  <c r="CB56" i="1" s="1"/>
  <c r="CD56" i="1" s="1"/>
  <c r="BI56" i="1"/>
  <c r="BG56" i="1"/>
  <c r="BF56" i="1"/>
  <c r="AZ56" i="1"/>
  <c r="AQ56" i="1"/>
  <c r="CE56" i="1" s="1"/>
  <c r="AO56" i="1"/>
  <c r="AJ56" i="1"/>
  <c r="BS56" i="1" s="1"/>
  <c r="CC56" i="1" s="1"/>
  <c r="AC56" i="1"/>
  <c r="W56" i="1"/>
  <c r="U56" i="1"/>
  <c r="J56" i="1"/>
  <c r="CE55" i="1"/>
  <c r="BZ55" i="1"/>
  <c r="BY55" i="1"/>
  <c r="BS55" i="1"/>
  <c r="CC55" i="1" s="1"/>
  <c r="BI55" i="1"/>
  <c r="BG55" i="1"/>
  <c r="BF55" i="1"/>
  <c r="CA55" i="1" s="1"/>
  <c r="AQ55" i="1"/>
  <c r="AO55" i="1"/>
  <c r="AJ55" i="1"/>
  <c r="AC55" i="1"/>
  <c r="W55" i="1"/>
  <c r="BP55" i="1" s="1"/>
  <c r="BX55" i="1" s="1"/>
  <c r="CB55" i="1" s="1"/>
  <c r="U55" i="1"/>
  <c r="J55" i="1"/>
  <c r="BZ54" i="1"/>
  <c r="BI54" i="1"/>
  <c r="BG54" i="1"/>
  <c r="BF54" i="1"/>
  <c r="AQ54" i="1"/>
  <c r="CE54" i="1" s="1"/>
  <c r="AO54" i="1"/>
  <c r="BY54" i="1" s="1"/>
  <c r="AJ54" i="1"/>
  <c r="AC54" i="1"/>
  <c r="W54" i="1"/>
  <c r="U54" i="1"/>
  <c r="J54" i="1"/>
  <c r="CC53" i="1"/>
  <c r="CB53" i="1"/>
  <c r="CD53" i="1" s="1"/>
  <c r="CF53" i="1" s="1"/>
  <c r="BZ53" i="1"/>
  <c r="BP53" i="1"/>
  <c r="BX53" i="1" s="1"/>
  <c r="BI53" i="1"/>
  <c r="BG53" i="1"/>
  <c r="BF53" i="1"/>
  <c r="AZ53" i="1"/>
  <c r="CA53" i="1" s="1"/>
  <c r="AQ53" i="1"/>
  <c r="CE53" i="1" s="1"/>
  <c r="AO53" i="1"/>
  <c r="BY53" i="1" s="1"/>
  <c r="AJ53" i="1"/>
  <c r="BS53" i="1" s="1"/>
  <c r="AC53" i="1"/>
  <c r="W53" i="1"/>
  <c r="U53" i="1"/>
  <c r="J53" i="1"/>
  <c r="CA52" i="1"/>
  <c r="BZ52" i="1"/>
  <c r="BI52" i="1"/>
  <c r="BG52" i="1"/>
  <c r="BF52" i="1"/>
  <c r="AZ52" i="1"/>
  <c r="AQ52" i="1"/>
  <c r="CE52" i="1" s="1"/>
  <c r="AO52" i="1"/>
  <c r="BY52" i="1" s="1"/>
  <c r="AJ52" i="1"/>
  <c r="BS52" i="1" s="1"/>
  <c r="CC52" i="1" s="1"/>
  <c r="AC52" i="1"/>
  <c r="W52" i="1"/>
  <c r="U52" i="1"/>
  <c r="J52" i="1"/>
  <c r="CA51" i="1"/>
  <c r="BZ51" i="1"/>
  <c r="BI51" i="1"/>
  <c r="BG51" i="1"/>
  <c r="BF51" i="1"/>
  <c r="AZ51" i="1"/>
  <c r="AQ51" i="1"/>
  <c r="CE51" i="1" s="1"/>
  <c r="AO51" i="1"/>
  <c r="BY51" i="1" s="1"/>
  <c r="AJ51" i="1"/>
  <c r="BS51" i="1" s="1"/>
  <c r="CC51" i="1" s="1"/>
  <c r="AC51" i="1"/>
  <c r="W51" i="1"/>
  <c r="U51" i="1"/>
  <c r="J51" i="1"/>
  <c r="CE50" i="1"/>
  <c r="BZ50" i="1"/>
  <c r="BY50" i="1"/>
  <c r="BI50" i="1"/>
  <c r="BG50" i="1"/>
  <c r="BF50" i="1"/>
  <c r="CA50" i="1" s="1"/>
  <c r="AZ50" i="1"/>
  <c r="AQ50" i="1"/>
  <c r="AO50" i="1"/>
  <c r="AJ50" i="1"/>
  <c r="BS50" i="1" s="1"/>
  <c r="CC50" i="1" s="1"/>
  <c r="AC50" i="1"/>
  <c r="W50" i="1"/>
  <c r="BP50" i="1" s="1"/>
  <c r="BX50" i="1" s="1"/>
  <c r="U50" i="1"/>
  <c r="J50" i="1"/>
  <c r="BZ49" i="1"/>
  <c r="BY49" i="1"/>
  <c r="BI49" i="1"/>
  <c r="BG49" i="1"/>
  <c r="BF49" i="1"/>
  <c r="AZ49" i="1"/>
  <c r="CA49" i="1" s="1"/>
  <c r="AQ49" i="1"/>
  <c r="CE49" i="1" s="1"/>
  <c r="AO49" i="1"/>
  <c r="AJ49" i="1"/>
  <c r="BS49" i="1" s="1"/>
  <c r="CC49" i="1" s="1"/>
  <c r="AC49" i="1"/>
  <c r="W49" i="1"/>
  <c r="U49" i="1"/>
  <c r="J49" i="1"/>
  <c r="CA48" i="1"/>
  <c r="BZ48" i="1"/>
  <c r="BX48" i="1"/>
  <c r="CB48" i="1" s="1"/>
  <c r="BS48" i="1"/>
  <c r="CC48" i="1" s="1"/>
  <c r="BI48" i="1"/>
  <c r="BG48" i="1"/>
  <c r="BF48" i="1"/>
  <c r="AZ48" i="1"/>
  <c r="AQ48" i="1"/>
  <c r="CE48" i="1" s="1"/>
  <c r="AO48" i="1"/>
  <c r="BY48" i="1" s="1"/>
  <c r="AJ48" i="1"/>
  <c r="AC48" i="1"/>
  <c r="W48" i="1"/>
  <c r="BP48" i="1" s="1"/>
  <c r="U48" i="1"/>
  <c r="J48" i="1"/>
  <c r="CA47" i="1"/>
  <c r="BZ47" i="1"/>
  <c r="BS47" i="1"/>
  <c r="CC47" i="1" s="1"/>
  <c r="BP47" i="1"/>
  <c r="BX47" i="1" s="1"/>
  <c r="BI47" i="1"/>
  <c r="BG47" i="1"/>
  <c r="BF47" i="1"/>
  <c r="AZ47" i="1"/>
  <c r="AQ47" i="1"/>
  <c r="CE47" i="1" s="1"/>
  <c r="AO47" i="1"/>
  <c r="BY47" i="1" s="1"/>
  <c r="AJ47" i="1"/>
  <c r="AC47" i="1"/>
  <c r="W47" i="1"/>
  <c r="U47" i="1"/>
  <c r="J47" i="1"/>
  <c r="CA46" i="1"/>
  <c r="BZ46" i="1"/>
  <c r="BY46" i="1"/>
  <c r="BP46" i="1"/>
  <c r="BX46" i="1" s="1"/>
  <c r="CB46" i="1" s="1"/>
  <c r="CD46" i="1" s="1"/>
  <c r="BI46" i="1"/>
  <c r="BG46" i="1"/>
  <c r="BF46" i="1"/>
  <c r="AZ46" i="1"/>
  <c r="AQ46" i="1"/>
  <c r="CE46" i="1" s="1"/>
  <c r="AO46" i="1"/>
  <c r="AJ46" i="1"/>
  <c r="BS46" i="1" s="1"/>
  <c r="CC46" i="1" s="1"/>
  <c r="AC46" i="1"/>
  <c r="W46" i="1"/>
  <c r="U46" i="1"/>
  <c r="J46" i="1"/>
  <c r="CE45" i="1"/>
  <c r="CA45" i="1"/>
  <c r="BZ45" i="1"/>
  <c r="BY45" i="1"/>
  <c r="BS45" i="1"/>
  <c r="CC45" i="1" s="1"/>
  <c r="BI45" i="1"/>
  <c r="BG45" i="1"/>
  <c r="BF45" i="1"/>
  <c r="AZ45" i="1"/>
  <c r="AQ45" i="1"/>
  <c r="AO45" i="1"/>
  <c r="AJ45" i="1"/>
  <c r="AC45" i="1"/>
  <c r="W45" i="1"/>
  <c r="BP45" i="1" s="1"/>
  <c r="BX45" i="1" s="1"/>
  <c r="CB45" i="1" s="1"/>
  <c r="CD45" i="1" s="1"/>
  <c r="CF45" i="1" s="1"/>
  <c r="U45" i="1"/>
  <c r="J45" i="1"/>
  <c r="CE44" i="1"/>
  <c r="BZ44" i="1"/>
  <c r="BY44" i="1"/>
  <c r="BI44" i="1"/>
  <c r="BG44" i="1"/>
  <c r="BF44" i="1"/>
  <c r="BS44" i="1" s="1"/>
  <c r="CC44" i="1" s="1"/>
  <c r="AZ44" i="1"/>
  <c r="AQ44" i="1"/>
  <c r="AO44" i="1"/>
  <c r="AJ44" i="1"/>
  <c r="AC44" i="1"/>
  <c r="W44" i="1"/>
  <c r="U44" i="1"/>
  <c r="J44" i="1"/>
  <c r="CE43" i="1"/>
  <c r="BZ43" i="1"/>
  <c r="BY43" i="1"/>
  <c r="BI43" i="1"/>
  <c r="BG43" i="1"/>
  <c r="BF43" i="1"/>
  <c r="BS43" i="1" s="1"/>
  <c r="CC43" i="1" s="1"/>
  <c r="AZ43" i="1"/>
  <c r="CA43" i="1" s="1"/>
  <c r="AQ43" i="1"/>
  <c r="AO43" i="1"/>
  <c r="AJ43" i="1"/>
  <c r="AC43" i="1"/>
  <c r="W43" i="1"/>
  <c r="U43" i="1"/>
  <c r="BP43" i="1" s="1"/>
  <c r="BX43" i="1" s="1"/>
  <c r="J43" i="1"/>
  <c r="CC42" i="1"/>
  <c r="BZ42" i="1"/>
  <c r="BS42" i="1"/>
  <c r="BP42" i="1"/>
  <c r="BX42" i="1" s="1"/>
  <c r="CB42" i="1" s="1"/>
  <c r="CD42" i="1" s="1"/>
  <c r="CF42" i="1" s="1"/>
  <c r="BI42" i="1"/>
  <c r="BG42" i="1"/>
  <c r="BF42" i="1"/>
  <c r="AZ42" i="1"/>
  <c r="CA42" i="1" s="1"/>
  <c r="AQ42" i="1"/>
  <c r="CE42" i="1" s="1"/>
  <c r="AO42" i="1"/>
  <c r="BY42" i="1" s="1"/>
  <c r="AJ42" i="1"/>
  <c r="AC42" i="1"/>
  <c r="W42" i="1"/>
  <c r="U42" i="1"/>
  <c r="J42" i="1"/>
  <c r="CA41" i="1"/>
  <c r="BZ41" i="1"/>
  <c r="BI41" i="1"/>
  <c r="BF41" i="1"/>
  <c r="AQ41" i="1"/>
  <c r="CE41" i="1" s="1"/>
  <c r="AO41" i="1"/>
  <c r="BY41" i="1" s="1"/>
  <c r="AJ41" i="1"/>
  <c r="AC41" i="1"/>
  <c r="W41" i="1"/>
  <c r="U41" i="1"/>
  <c r="J41" i="1"/>
  <c r="CE40" i="1"/>
  <c r="BZ40" i="1"/>
  <c r="BY40" i="1"/>
  <c r="BI40" i="1"/>
  <c r="BG40" i="1"/>
  <c r="BF40" i="1"/>
  <c r="AZ40" i="1"/>
  <c r="CA40" i="1" s="1"/>
  <c r="AQ40" i="1"/>
  <c r="AO40" i="1"/>
  <c r="AJ40" i="1"/>
  <c r="BS40" i="1" s="1"/>
  <c r="CC40" i="1" s="1"/>
  <c r="AC40" i="1"/>
  <c r="W40" i="1"/>
  <c r="BP40" i="1" s="1"/>
  <c r="BX40" i="1" s="1"/>
  <c r="CB40" i="1" s="1"/>
  <c r="CD40" i="1" s="1"/>
  <c r="CF40" i="1" s="1"/>
  <c r="U40" i="1"/>
  <c r="J40" i="1"/>
  <c r="BZ39" i="1"/>
  <c r="BY39" i="1"/>
  <c r="BI39" i="1"/>
  <c r="BG39" i="1"/>
  <c r="BF39" i="1"/>
  <c r="AZ39" i="1"/>
  <c r="CA39" i="1" s="1"/>
  <c r="AQ39" i="1"/>
  <c r="CE39" i="1" s="1"/>
  <c r="AO39" i="1"/>
  <c r="AJ39" i="1"/>
  <c r="BS39" i="1" s="1"/>
  <c r="CC39" i="1" s="1"/>
  <c r="AC39" i="1"/>
  <c r="W39" i="1"/>
  <c r="U39" i="1"/>
  <c r="J39" i="1"/>
  <c r="CA38" i="1"/>
  <c r="BZ38" i="1"/>
  <c r="BS38" i="1"/>
  <c r="CC38" i="1" s="1"/>
  <c r="BI38" i="1"/>
  <c r="BG38" i="1"/>
  <c r="BF38" i="1"/>
  <c r="AZ38" i="1"/>
  <c r="AQ38" i="1"/>
  <c r="CE38" i="1" s="1"/>
  <c r="AO38" i="1"/>
  <c r="BY38" i="1" s="1"/>
  <c r="AJ38" i="1"/>
  <c r="AC38" i="1"/>
  <c r="W38" i="1"/>
  <c r="U38" i="1"/>
  <c r="J38" i="1"/>
  <c r="CA37" i="1"/>
  <c r="BZ37" i="1"/>
  <c r="BS37" i="1"/>
  <c r="CC37" i="1" s="1"/>
  <c r="BP37" i="1"/>
  <c r="BX37" i="1" s="1"/>
  <c r="CB37" i="1" s="1"/>
  <c r="CD37" i="1" s="1"/>
  <c r="CF37" i="1" s="1"/>
  <c r="BI37" i="1"/>
  <c r="BG37" i="1"/>
  <c r="BF37" i="1"/>
  <c r="AZ37" i="1"/>
  <c r="AQ37" i="1"/>
  <c r="CE37" i="1" s="1"/>
  <c r="AO37" i="1"/>
  <c r="BY37" i="1" s="1"/>
  <c r="AJ37" i="1"/>
  <c r="AC37" i="1"/>
  <c r="W37" i="1"/>
  <c r="U37" i="1"/>
  <c r="J37" i="1"/>
  <c r="CA36" i="1"/>
  <c r="BZ36" i="1"/>
  <c r="BY36" i="1"/>
  <c r="BS36" i="1"/>
  <c r="CC36" i="1" s="1"/>
  <c r="BP36" i="1"/>
  <c r="BX36" i="1" s="1"/>
  <c r="BI36" i="1"/>
  <c r="BG36" i="1"/>
  <c r="BF36" i="1"/>
  <c r="AQ36" i="1"/>
  <c r="CE36" i="1" s="1"/>
  <c r="AO36" i="1"/>
  <c r="AJ36" i="1"/>
  <c r="AC36" i="1"/>
  <c r="W36" i="1"/>
  <c r="U36" i="1"/>
  <c r="J36" i="1"/>
  <c r="CE35" i="1"/>
  <c r="CC35" i="1"/>
  <c r="BY35" i="1"/>
  <c r="BI35" i="1"/>
  <c r="BG35" i="1"/>
  <c r="BF35" i="1"/>
  <c r="AQ35" i="1"/>
  <c r="AJ35" i="1"/>
  <c r="AC35" i="1"/>
  <c r="W35" i="1"/>
  <c r="U35" i="1"/>
  <c r="J35" i="1"/>
  <c r="CB34" i="1"/>
  <c r="CD34" i="1" s="1"/>
  <c r="CA34" i="1"/>
  <c r="BZ34" i="1"/>
  <c r="BI34" i="1"/>
  <c r="BG34" i="1"/>
  <c r="BF34" i="1"/>
  <c r="BP34" i="1" s="1"/>
  <c r="BX34" i="1" s="1"/>
  <c r="AZ34" i="1"/>
  <c r="AQ34" i="1"/>
  <c r="CE34" i="1" s="1"/>
  <c r="AO34" i="1"/>
  <c r="BY34" i="1" s="1"/>
  <c r="AJ34" i="1"/>
  <c r="BS34" i="1" s="1"/>
  <c r="CC34" i="1" s="1"/>
  <c r="AC34" i="1"/>
  <c r="W34" i="1"/>
  <c r="U34" i="1"/>
  <c r="J34" i="1"/>
  <c r="CA33" i="1"/>
  <c r="BZ33" i="1"/>
  <c r="BI33" i="1"/>
  <c r="BG33" i="1"/>
  <c r="BF33" i="1"/>
  <c r="AZ33" i="1"/>
  <c r="AQ33" i="1"/>
  <c r="CE33" i="1" s="1"/>
  <c r="AO33" i="1"/>
  <c r="BY33" i="1" s="1"/>
  <c r="AJ33" i="1"/>
  <c r="BS33" i="1" s="1"/>
  <c r="CC33" i="1" s="1"/>
  <c r="AC33" i="1"/>
  <c r="W33" i="1"/>
  <c r="U33" i="1"/>
  <c r="J33" i="1"/>
  <c r="CE32" i="1"/>
  <c r="BZ32" i="1"/>
  <c r="BY32" i="1"/>
  <c r="BI32" i="1"/>
  <c r="BG32" i="1"/>
  <c r="BF32" i="1"/>
  <c r="AZ32" i="1"/>
  <c r="CA32" i="1" s="1"/>
  <c r="AQ32" i="1"/>
  <c r="AO32" i="1"/>
  <c r="AJ32" i="1"/>
  <c r="BS32" i="1" s="1"/>
  <c r="CC32" i="1" s="1"/>
  <c r="AC32" i="1"/>
  <c r="W32" i="1"/>
  <c r="BP32" i="1" s="1"/>
  <c r="BX32" i="1" s="1"/>
  <c r="CB32" i="1" s="1"/>
  <c r="CD32" i="1" s="1"/>
  <c r="CF32" i="1" s="1"/>
  <c r="U32" i="1"/>
  <c r="J32" i="1"/>
  <c r="CA31" i="1"/>
  <c r="BZ31" i="1"/>
  <c r="BY31" i="1"/>
  <c r="BI31" i="1"/>
  <c r="BG31" i="1"/>
  <c r="BF31" i="1"/>
  <c r="AQ31" i="1"/>
  <c r="CE31" i="1" s="1"/>
  <c r="AJ31" i="1"/>
  <c r="BS31" i="1" s="1"/>
  <c r="CC31" i="1" s="1"/>
  <c r="AC31" i="1"/>
  <c r="W31" i="1"/>
  <c r="BP31" i="1" s="1"/>
  <c r="BX31" i="1" s="1"/>
  <c r="CB31" i="1" s="1"/>
  <c r="CD31" i="1" s="1"/>
  <c r="CF31" i="1" s="1"/>
  <c r="U31" i="1"/>
  <c r="J31" i="1"/>
  <c r="CA30" i="1"/>
  <c r="BZ30" i="1"/>
  <c r="BY30" i="1"/>
  <c r="BI30" i="1"/>
  <c r="BG30" i="1"/>
  <c r="BF30" i="1"/>
  <c r="AZ30" i="1"/>
  <c r="AQ30" i="1"/>
  <c r="CE30" i="1" s="1"/>
  <c r="AO30" i="1"/>
  <c r="AJ30" i="1"/>
  <c r="BS30" i="1" s="1"/>
  <c r="CC30" i="1" s="1"/>
  <c r="AC30" i="1"/>
  <c r="W30" i="1"/>
  <c r="U30" i="1"/>
  <c r="BP30" i="1" s="1"/>
  <c r="BX30" i="1" s="1"/>
  <c r="CB30" i="1" s="1"/>
  <c r="CD30" i="1" s="1"/>
  <c r="CF30" i="1" s="1"/>
  <c r="J30" i="1"/>
  <c r="CE29" i="1"/>
  <c r="CA29" i="1"/>
  <c r="BZ29" i="1"/>
  <c r="BY29" i="1"/>
  <c r="BS29" i="1"/>
  <c r="CC29" i="1" s="1"/>
  <c r="BI29" i="1"/>
  <c r="BG29" i="1"/>
  <c r="BF29" i="1"/>
  <c r="AZ29" i="1"/>
  <c r="AQ29" i="1"/>
  <c r="AO29" i="1"/>
  <c r="AJ29" i="1"/>
  <c r="AC29" i="1"/>
  <c r="W29" i="1"/>
  <c r="BP29" i="1" s="1"/>
  <c r="BX29" i="1" s="1"/>
  <c r="U29" i="1"/>
  <c r="J29" i="1"/>
  <c r="CE28" i="1"/>
  <c r="BZ28" i="1"/>
  <c r="BY28" i="1"/>
  <c r="BP28" i="1"/>
  <c r="BX28" i="1" s="1"/>
  <c r="BI28" i="1"/>
  <c r="BG28" i="1"/>
  <c r="BF28" i="1"/>
  <c r="AZ28" i="1"/>
  <c r="AQ28" i="1"/>
  <c r="AO28" i="1"/>
  <c r="AJ28" i="1"/>
  <c r="AC28" i="1"/>
  <c r="W28" i="1"/>
  <c r="U28" i="1"/>
  <c r="J28" i="1"/>
  <c r="CE27" i="1"/>
  <c r="BZ27" i="1"/>
  <c r="BY27" i="1"/>
  <c r="BX27" i="1"/>
  <c r="CB27" i="1" s="1"/>
  <c r="BI27" i="1"/>
  <c r="BG27" i="1"/>
  <c r="BF27" i="1"/>
  <c r="BS27" i="1" s="1"/>
  <c r="CC27" i="1" s="1"/>
  <c r="AZ27" i="1"/>
  <c r="CA27" i="1" s="1"/>
  <c r="AQ27" i="1"/>
  <c r="AO27" i="1"/>
  <c r="AJ27" i="1"/>
  <c r="AC27" i="1"/>
  <c r="W27" i="1"/>
  <c r="U27" i="1"/>
  <c r="BP27" i="1" s="1"/>
  <c r="J27" i="1"/>
  <c r="BZ26" i="1"/>
  <c r="BS26" i="1"/>
  <c r="CC26" i="1" s="1"/>
  <c r="BP26" i="1"/>
  <c r="BX26" i="1" s="1"/>
  <c r="BI26" i="1"/>
  <c r="BG26" i="1"/>
  <c r="BF26" i="1"/>
  <c r="AZ26" i="1"/>
  <c r="CA26" i="1" s="1"/>
  <c r="AQ26" i="1"/>
  <c r="CE26" i="1" s="1"/>
  <c r="AO26" i="1"/>
  <c r="BY26" i="1" s="1"/>
  <c r="AJ26" i="1"/>
  <c r="AC26" i="1"/>
  <c r="W26" i="1"/>
  <c r="U26" i="1"/>
  <c r="J26" i="1"/>
  <c r="CE25" i="1"/>
  <c r="BZ25" i="1"/>
  <c r="BP25" i="1"/>
  <c r="BX25" i="1" s="1"/>
  <c r="CB25" i="1" s="1"/>
  <c r="CD25" i="1" s="1"/>
  <c r="CF25" i="1" s="1"/>
  <c r="BI25" i="1"/>
  <c r="BG25" i="1"/>
  <c r="BF25" i="1"/>
  <c r="AZ25" i="1"/>
  <c r="CA25" i="1" s="1"/>
  <c r="AQ25" i="1"/>
  <c r="AO25" i="1"/>
  <c r="BY25" i="1" s="1"/>
  <c r="AJ25" i="1"/>
  <c r="BS25" i="1" s="1"/>
  <c r="CC25" i="1" s="1"/>
  <c r="AC25" i="1"/>
  <c r="W25" i="1"/>
  <c r="U25" i="1"/>
  <c r="J25" i="1"/>
  <c r="BZ24" i="1"/>
  <c r="BI24" i="1"/>
  <c r="BG24" i="1"/>
  <c r="BF24" i="1"/>
  <c r="AZ24" i="1"/>
  <c r="CA24" i="1" s="1"/>
  <c r="AQ24" i="1"/>
  <c r="CE24" i="1" s="1"/>
  <c r="AO24" i="1"/>
  <c r="BY24" i="1" s="1"/>
  <c r="AJ24" i="1"/>
  <c r="BS24" i="1" s="1"/>
  <c r="CC24" i="1" s="1"/>
  <c r="AC24" i="1"/>
  <c r="W24" i="1"/>
  <c r="U24" i="1"/>
  <c r="J24" i="1"/>
  <c r="CC23" i="1"/>
  <c r="CA23" i="1"/>
  <c r="BZ23" i="1"/>
  <c r="BY23" i="1"/>
  <c r="BI23" i="1"/>
  <c r="BG23" i="1"/>
  <c r="BF23" i="1"/>
  <c r="AZ23" i="1"/>
  <c r="AQ23" i="1"/>
  <c r="CE23" i="1" s="1"/>
  <c r="AO23" i="1"/>
  <c r="AJ23" i="1"/>
  <c r="BS23" i="1" s="1"/>
  <c r="AC23" i="1"/>
  <c r="W23" i="1"/>
  <c r="U23" i="1"/>
  <c r="J23" i="1"/>
  <c r="BZ22" i="1"/>
  <c r="BI22" i="1"/>
  <c r="BG22" i="1"/>
  <c r="BF22" i="1"/>
  <c r="AZ22" i="1"/>
  <c r="CA22" i="1" s="1"/>
  <c r="AQ22" i="1"/>
  <c r="CE22" i="1" s="1"/>
  <c r="AO22" i="1"/>
  <c r="BY22" i="1" s="1"/>
  <c r="AJ22" i="1"/>
  <c r="AC22" i="1"/>
  <c r="W22" i="1"/>
  <c r="U22" i="1"/>
  <c r="J22" i="1"/>
  <c r="BZ21" i="1"/>
  <c r="BY21" i="1"/>
  <c r="BI21" i="1"/>
  <c r="BG21" i="1"/>
  <c r="BF21" i="1"/>
  <c r="AZ21" i="1"/>
  <c r="CA21" i="1" s="1"/>
  <c r="AQ21" i="1"/>
  <c r="CE21" i="1" s="1"/>
  <c r="AO21" i="1"/>
  <c r="AJ21" i="1"/>
  <c r="BS21" i="1" s="1"/>
  <c r="CC21" i="1" s="1"/>
  <c r="AC21" i="1"/>
  <c r="W21" i="1"/>
  <c r="U21" i="1"/>
  <c r="J21" i="1"/>
  <c r="CA20" i="1"/>
  <c r="BZ20" i="1"/>
  <c r="BY20" i="1"/>
  <c r="BS20" i="1"/>
  <c r="CC20" i="1" s="1"/>
  <c r="BI20" i="1"/>
  <c r="BG20" i="1"/>
  <c r="BF20" i="1"/>
  <c r="AZ20" i="1"/>
  <c r="AQ20" i="1"/>
  <c r="CE20" i="1" s="1"/>
  <c r="AO20" i="1"/>
  <c r="AJ20" i="1"/>
  <c r="AC20" i="1"/>
  <c r="W20" i="1"/>
  <c r="BP20" i="1" s="1"/>
  <c r="BX20" i="1" s="1"/>
  <c r="CB20" i="1" s="1"/>
  <c r="U20" i="1"/>
  <c r="J20" i="1"/>
  <c r="CA19" i="1"/>
  <c r="BZ19" i="1"/>
  <c r="BY19" i="1"/>
  <c r="BI19" i="1"/>
  <c r="BG19" i="1"/>
  <c r="BF19" i="1"/>
  <c r="AZ19" i="1"/>
  <c r="AQ19" i="1"/>
  <c r="CE19" i="1" s="1"/>
  <c r="AO19" i="1"/>
  <c r="AJ19" i="1"/>
  <c r="BS19" i="1" s="1"/>
  <c r="CC19" i="1" s="1"/>
  <c r="AC19" i="1"/>
  <c r="W19" i="1"/>
  <c r="BP19" i="1" s="1"/>
  <c r="BX19" i="1" s="1"/>
  <c r="CB19" i="1" s="1"/>
  <c r="CD19" i="1" s="1"/>
  <c r="CF19" i="1" s="1"/>
  <c r="U19" i="1"/>
  <c r="J19" i="1"/>
  <c r="CA18" i="1"/>
  <c r="BZ18" i="1"/>
  <c r="BY18" i="1"/>
  <c r="BP18" i="1"/>
  <c r="BX18" i="1" s="1"/>
  <c r="CB18" i="1" s="1"/>
  <c r="CD18" i="1" s="1"/>
  <c r="CF18" i="1" s="1"/>
  <c r="BI18" i="1"/>
  <c r="BG18" i="1"/>
  <c r="BF18" i="1"/>
  <c r="AQ18" i="1"/>
  <c r="CE18" i="1" s="1"/>
  <c r="AO18" i="1"/>
  <c r="AJ18" i="1"/>
  <c r="BS18" i="1" s="1"/>
  <c r="CC18" i="1" s="1"/>
  <c r="AC18" i="1"/>
  <c r="W18" i="1"/>
  <c r="U18" i="1"/>
  <c r="J18" i="1"/>
  <c r="CE17" i="1"/>
  <c r="BZ17" i="1"/>
  <c r="BY17" i="1"/>
  <c r="BS17" i="1"/>
  <c r="CC17" i="1" s="1"/>
  <c r="BP17" i="1"/>
  <c r="BX17" i="1" s="1"/>
  <c r="BI17" i="1"/>
  <c r="BG17" i="1"/>
  <c r="BF17" i="1"/>
  <c r="AZ17" i="1"/>
  <c r="CA17" i="1" s="1"/>
  <c r="AQ17" i="1"/>
  <c r="AO17" i="1"/>
  <c r="AJ17" i="1"/>
  <c r="AC17" i="1"/>
  <c r="W17" i="1"/>
  <c r="U17" i="1"/>
  <c r="J17" i="1"/>
  <c r="BZ16" i="1"/>
  <c r="BY16" i="1"/>
  <c r="BI16" i="1"/>
  <c r="BG16" i="1"/>
  <c r="BF16" i="1"/>
  <c r="BS16" i="1" s="1"/>
  <c r="CC16" i="1" s="1"/>
  <c r="AZ16" i="1"/>
  <c r="AQ16" i="1"/>
  <c r="CE16" i="1" s="1"/>
  <c r="AO16" i="1"/>
  <c r="AJ16" i="1"/>
  <c r="AC16" i="1"/>
  <c r="W16" i="1"/>
  <c r="U16" i="1"/>
  <c r="BO183" i="1" s="1"/>
  <c r="CA183" i="1" s="1"/>
  <c r="J16" i="1"/>
  <c r="BZ15" i="1"/>
  <c r="BY15" i="1"/>
  <c r="BI15" i="1"/>
  <c r="BG15" i="1"/>
  <c r="BF15" i="1"/>
  <c r="BS15" i="1" s="1"/>
  <c r="CC15" i="1" s="1"/>
  <c r="AZ15" i="1"/>
  <c r="AQ15" i="1"/>
  <c r="CE15" i="1" s="1"/>
  <c r="AO15" i="1"/>
  <c r="AJ15" i="1"/>
  <c r="AC15" i="1"/>
  <c r="W15" i="1"/>
  <c r="BP15" i="1" s="1"/>
  <c r="BX15" i="1" s="1"/>
  <c r="U15" i="1"/>
  <c r="BO182" i="1" s="1"/>
  <c r="CA182" i="1" s="1"/>
  <c r="J15" i="1"/>
  <c r="BZ14" i="1"/>
  <c r="BS14" i="1"/>
  <c r="CC14" i="1" s="1"/>
  <c r="BP14" i="1"/>
  <c r="BX14" i="1" s="1"/>
  <c r="BI14" i="1"/>
  <c r="BG14" i="1"/>
  <c r="BF14" i="1"/>
  <c r="AZ14" i="1"/>
  <c r="CA14" i="1" s="1"/>
  <c r="AQ14" i="1"/>
  <c r="CE14" i="1" s="1"/>
  <c r="AO14" i="1"/>
  <c r="BY14" i="1" s="1"/>
  <c r="AJ14" i="1"/>
  <c r="AC14" i="1"/>
  <c r="W14" i="1"/>
  <c r="U14" i="1"/>
  <c r="J14" i="1"/>
  <c r="BZ13" i="1"/>
  <c r="BI13" i="1"/>
  <c r="BG13" i="1"/>
  <c r="BF13" i="1"/>
  <c r="CA13" i="1" s="1"/>
  <c r="AZ13" i="1"/>
  <c r="AQ13" i="1"/>
  <c r="CE13" i="1" s="1"/>
  <c r="AO13" i="1"/>
  <c r="BY13" i="1" s="1"/>
  <c r="AJ13" i="1"/>
  <c r="BS13" i="1" s="1"/>
  <c r="CC13" i="1" s="1"/>
  <c r="AC13" i="1"/>
  <c r="W13" i="1"/>
  <c r="U13" i="1"/>
  <c r="J13" i="1"/>
  <c r="CE12" i="1"/>
  <c r="BZ12" i="1"/>
  <c r="BI12" i="1"/>
  <c r="BG12" i="1"/>
  <c r="BF12" i="1"/>
  <c r="CA12" i="1" s="1"/>
  <c r="AQ12" i="1"/>
  <c r="AO12" i="1"/>
  <c r="BY12" i="1" s="1"/>
  <c r="AJ12" i="1"/>
  <c r="BS12" i="1" s="1"/>
  <c r="CC12" i="1" s="1"/>
  <c r="AC12" i="1"/>
  <c r="W12" i="1"/>
  <c r="U12" i="1"/>
  <c r="J12" i="1"/>
  <c r="BZ11" i="1"/>
  <c r="BY11" i="1"/>
  <c r="BI11" i="1"/>
  <c r="BG11" i="1"/>
  <c r="BF11" i="1"/>
  <c r="AZ11" i="1"/>
  <c r="CA11" i="1" s="1"/>
  <c r="AQ11" i="1"/>
  <c r="CE11" i="1" s="1"/>
  <c r="AO11" i="1"/>
  <c r="AJ11" i="1"/>
  <c r="BS11" i="1" s="1"/>
  <c r="CC11" i="1" s="1"/>
  <c r="AC11" i="1"/>
  <c r="W11" i="1"/>
  <c r="U11" i="1"/>
  <c r="BO179" i="1" s="1"/>
  <c r="CA179" i="1" s="1"/>
  <c r="J11" i="1"/>
  <c r="CA10" i="1"/>
  <c r="BZ10" i="1"/>
  <c r="BP10" i="1"/>
  <c r="BX10" i="1" s="1"/>
  <c r="CB10" i="1" s="1"/>
  <c r="BI10" i="1"/>
  <c r="BG10" i="1"/>
  <c r="BF10" i="1"/>
  <c r="AZ10" i="1"/>
  <c r="AQ10" i="1"/>
  <c r="CE10" i="1" s="1"/>
  <c r="AO10" i="1"/>
  <c r="BY10" i="1" s="1"/>
  <c r="AJ10" i="1"/>
  <c r="BS10" i="1" s="1"/>
  <c r="CC10" i="1" s="1"/>
  <c r="AC10" i="1"/>
  <c r="W10" i="1"/>
  <c r="U10" i="1"/>
  <c r="J10" i="1"/>
  <c r="BZ9" i="1"/>
  <c r="BY9" i="1"/>
  <c r="BI9" i="1"/>
  <c r="BG9" i="1"/>
  <c r="BF9" i="1"/>
  <c r="BS9" i="1" s="1"/>
  <c r="CC9" i="1" s="1"/>
  <c r="AZ9" i="1"/>
  <c r="CA9" i="1" s="1"/>
  <c r="AQ9" i="1"/>
  <c r="CE9" i="1" s="1"/>
  <c r="AO9" i="1"/>
  <c r="AJ9" i="1"/>
  <c r="AC9" i="1"/>
  <c r="W9" i="1"/>
  <c r="BP9" i="1" s="1"/>
  <c r="BX9" i="1" s="1"/>
  <c r="CB9" i="1" s="1"/>
  <c r="U9" i="1"/>
  <c r="J9" i="1"/>
  <c r="CC8" i="1"/>
  <c r="A27" i="10" s="1"/>
  <c r="BZ8" i="1"/>
  <c r="BS8" i="1"/>
  <c r="BP8" i="1"/>
  <c r="BX8" i="1" s="1"/>
  <c r="CB8" i="1" s="1"/>
  <c r="BI8" i="1"/>
  <c r="BG8" i="1"/>
  <c r="BF8" i="1"/>
  <c r="AZ8" i="1"/>
  <c r="CA8" i="1" s="1"/>
  <c r="AQ8" i="1"/>
  <c r="CE8" i="1" s="1"/>
  <c r="AO8" i="1"/>
  <c r="BY8" i="1" s="1"/>
  <c r="AJ8" i="1"/>
  <c r="AC8" i="1"/>
  <c r="W8" i="1"/>
  <c r="U8" i="1"/>
  <c r="J8" i="1"/>
  <c r="CA7" i="1"/>
  <c r="BZ7" i="1"/>
  <c r="BI7" i="1"/>
  <c r="BG7" i="1"/>
  <c r="BF7" i="1"/>
  <c r="BP7" i="1" s="1"/>
  <c r="BX7" i="1" s="1"/>
  <c r="AZ7" i="1"/>
  <c r="AQ7" i="1"/>
  <c r="CE7" i="1" s="1"/>
  <c r="AO7" i="1"/>
  <c r="BY7" i="1" s="1"/>
  <c r="AJ7" i="1"/>
  <c r="BS7" i="1" s="1"/>
  <c r="CC7" i="1" s="1"/>
  <c r="A26" i="10" s="1"/>
  <c r="AC7" i="1"/>
  <c r="W7" i="1"/>
  <c r="U7" i="1"/>
  <c r="J7" i="1"/>
  <c r="BZ6" i="1"/>
  <c r="BY6" i="1"/>
  <c r="BI6" i="1"/>
  <c r="BG6" i="1"/>
  <c r="BF6" i="1"/>
  <c r="CA6" i="1" s="1"/>
  <c r="AQ6" i="1"/>
  <c r="CE6" i="1" s="1"/>
  <c r="AO6" i="1"/>
  <c r="AJ6" i="1"/>
  <c r="BS6" i="1" s="1"/>
  <c r="CC6" i="1" s="1"/>
  <c r="A25" i="10" s="1"/>
  <c r="AC6" i="1"/>
  <c r="W6" i="1"/>
  <c r="BP6" i="1" s="1"/>
  <c r="BX6" i="1" s="1"/>
  <c r="CB6" i="1" s="1"/>
  <c r="U6" i="1"/>
  <c r="J6" i="1"/>
  <c r="BZ5" i="1"/>
  <c r="BS5" i="1"/>
  <c r="CC5" i="1" s="1"/>
  <c r="A24" i="10" s="1"/>
  <c r="BI5" i="1"/>
  <c r="BG5" i="1"/>
  <c r="BF5" i="1"/>
  <c r="AZ5" i="1"/>
  <c r="CA5" i="1" s="1"/>
  <c r="AQ5" i="1"/>
  <c r="CE5" i="1" s="1"/>
  <c r="AO5" i="1"/>
  <c r="BY5" i="1" s="1"/>
  <c r="AJ5" i="1"/>
  <c r="AC5" i="1"/>
  <c r="W5" i="1"/>
  <c r="BP5" i="1" s="1"/>
  <c r="BX5" i="1" s="1"/>
  <c r="CB5" i="1" s="1"/>
  <c r="U5" i="1"/>
  <c r="J5" i="1"/>
  <c r="CA4" i="1"/>
  <c r="BZ4" i="1"/>
  <c r="BS4" i="1"/>
  <c r="CC4" i="1" s="1"/>
  <c r="A23" i="10" s="1"/>
  <c r="BP4" i="1"/>
  <c r="BX4" i="1" s="1"/>
  <c r="BI4" i="1"/>
  <c r="BG4" i="1"/>
  <c r="BF4" i="1"/>
  <c r="AZ4" i="1"/>
  <c r="AQ4" i="1"/>
  <c r="CE4" i="1" s="1"/>
  <c r="AO4" i="1"/>
  <c r="BY4" i="1" s="1"/>
  <c r="AJ4" i="1"/>
  <c r="AC4" i="1"/>
  <c r="W4" i="1"/>
  <c r="U4" i="1"/>
  <c r="J4" i="1"/>
  <c r="CA3" i="1"/>
  <c r="BZ3" i="1"/>
  <c r="BP3" i="1"/>
  <c r="BX3" i="1" s="1"/>
  <c r="CB3" i="1" s="1"/>
  <c r="BI3" i="1"/>
  <c r="BG3" i="1"/>
  <c r="BF3" i="1"/>
  <c r="AZ3" i="1"/>
  <c r="AQ3" i="1"/>
  <c r="CE3" i="1" s="1"/>
  <c r="AO3" i="1"/>
  <c r="BY3" i="1" s="1"/>
  <c r="AJ3" i="1"/>
  <c r="BS3" i="1" s="1"/>
  <c r="CC3" i="1" s="1"/>
  <c r="A22" i="10" s="1"/>
  <c r="AC3" i="1"/>
  <c r="AB3" i="1"/>
  <c r="W3" i="1"/>
  <c r="U3" i="1"/>
  <c r="J3" i="1"/>
  <c r="CA2" i="1"/>
  <c r="BZ2" i="1"/>
  <c r="BP2" i="1"/>
  <c r="BX2" i="1" s="1"/>
  <c r="CB2" i="1" s="1"/>
  <c r="BI2" i="1"/>
  <c r="BG2" i="1"/>
  <c r="BF2" i="1"/>
  <c r="AZ2" i="1"/>
  <c r="AQ2" i="1"/>
  <c r="CE2" i="1" s="1"/>
  <c r="AO2" i="1"/>
  <c r="BY2" i="1" s="1"/>
  <c r="AJ2" i="1"/>
  <c r="BS2" i="1" s="1"/>
  <c r="CC2" i="1" s="1"/>
  <c r="AC2" i="1"/>
  <c r="W2" i="1"/>
  <c r="U2" i="1"/>
  <c r="J2" i="1"/>
  <c r="A15" i="10" l="1"/>
  <c r="CD2" i="1"/>
  <c r="CF2" i="1" s="1"/>
  <c r="A12" i="10"/>
  <c r="CD8" i="1"/>
  <c r="CF8" i="1" s="1"/>
  <c r="A10" i="10"/>
  <c r="CD6" i="1"/>
  <c r="CF6" i="1" s="1"/>
  <c r="CD10" i="1"/>
  <c r="CF10" i="1" s="1"/>
  <c r="A7" i="10"/>
  <c r="CD3" i="1"/>
  <c r="CF3" i="1" s="1"/>
  <c r="CD9" i="1"/>
  <c r="CF9" i="1" s="1"/>
  <c r="CD27" i="1"/>
  <c r="CF27" i="1" s="1"/>
  <c r="CB4" i="1"/>
  <c r="CB14" i="1"/>
  <c r="CD14" i="1" s="1"/>
  <c r="CF14" i="1" s="1"/>
  <c r="A9" i="10"/>
  <c r="CD5" i="1"/>
  <c r="CF5" i="1" s="1"/>
  <c r="CD20" i="1"/>
  <c r="CF20" i="1" s="1"/>
  <c r="CB7" i="1"/>
  <c r="CB17" i="1"/>
  <c r="CD17" i="1" s="1"/>
  <c r="CF17" i="1" s="1"/>
  <c r="CB29" i="1"/>
  <c r="CD29" i="1" s="1"/>
  <c r="CF29" i="1" s="1"/>
  <c r="CA92" i="1"/>
  <c r="BS92" i="1"/>
  <c r="CC92" i="1" s="1"/>
  <c r="BS135" i="1"/>
  <c r="CC135" i="1" s="1"/>
  <c r="BQ135" i="1"/>
  <c r="BY135" i="1" s="1"/>
  <c r="BO178" i="1"/>
  <c r="CA178" i="1" s="1"/>
  <c r="BO181" i="1"/>
  <c r="CA181" i="1" s="1"/>
  <c r="BP21" i="1"/>
  <c r="BX21" i="1" s="1"/>
  <c r="CB21" i="1" s="1"/>
  <c r="CD21" i="1" s="1"/>
  <c r="CF21" i="1" s="1"/>
  <c r="CA28" i="1"/>
  <c r="CB28" i="1" s="1"/>
  <c r="CD28" i="1" s="1"/>
  <c r="CF28" i="1" s="1"/>
  <c r="BS28" i="1"/>
  <c r="CC28" i="1" s="1"/>
  <c r="BP67" i="1"/>
  <c r="BX67" i="1" s="1"/>
  <c r="CB67" i="1" s="1"/>
  <c r="CD67" i="1" s="1"/>
  <c r="CF67" i="1" s="1"/>
  <c r="CB69" i="1"/>
  <c r="CD69" i="1" s="1"/>
  <c r="CF69" i="1" s="1"/>
  <c r="CD111" i="1"/>
  <c r="CF111" i="1" s="1"/>
  <c r="CA102" i="1"/>
  <c r="BX102" i="1"/>
  <c r="BP13" i="1"/>
  <c r="BX13" i="1" s="1"/>
  <c r="CB13" i="1" s="1"/>
  <c r="CD13" i="1" s="1"/>
  <c r="CF13" i="1" s="1"/>
  <c r="CA35" i="1"/>
  <c r="BZ35" i="1"/>
  <c r="BP35" i="1"/>
  <c r="BX35" i="1" s="1"/>
  <c r="BS73" i="1"/>
  <c r="CC73" i="1" s="1"/>
  <c r="BP73" i="1"/>
  <c r="BX73" i="1" s="1"/>
  <c r="CB73" i="1" s="1"/>
  <c r="CD73" i="1" s="1"/>
  <c r="CF73" i="1" s="1"/>
  <c r="CB96" i="1"/>
  <c r="CD96" i="1" s="1"/>
  <c r="CF96" i="1" s="1"/>
  <c r="CE183" i="1"/>
  <c r="BZ183" i="1"/>
  <c r="CD48" i="1"/>
  <c r="CF48" i="1" s="1"/>
  <c r="CA16" i="1"/>
  <c r="BO185" i="1"/>
  <c r="CA185" i="1" s="1"/>
  <c r="BP23" i="1"/>
  <c r="BX23" i="1" s="1"/>
  <c r="CB23" i="1" s="1"/>
  <c r="CD23" i="1" s="1"/>
  <c r="CF23" i="1" s="1"/>
  <c r="BP24" i="1"/>
  <c r="BX24" i="1" s="1"/>
  <c r="CB24" i="1" s="1"/>
  <c r="CD24" i="1" s="1"/>
  <c r="CF24" i="1" s="1"/>
  <c r="CA44" i="1"/>
  <c r="CA85" i="1"/>
  <c r="BX85" i="1"/>
  <c r="CD55" i="1"/>
  <c r="CF55" i="1" s="1"/>
  <c r="BP12" i="1"/>
  <c r="BX12" i="1" s="1"/>
  <c r="CB12" i="1" s="1"/>
  <c r="CD12" i="1" s="1"/>
  <c r="CF12" i="1" s="1"/>
  <c r="CA15" i="1"/>
  <c r="CB15" i="1" s="1"/>
  <c r="CD15" i="1" s="1"/>
  <c r="CF15" i="1" s="1"/>
  <c r="CB26" i="1"/>
  <c r="CD26" i="1" s="1"/>
  <c r="CF26" i="1" s="1"/>
  <c r="BP33" i="1"/>
  <c r="BX33" i="1" s="1"/>
  <c r="CB33" i="1" s="1"/>
  <c r="CD33" i="1" s="1"/>
  <c r="CF33" i="1" s="1"/>
  <c r="BP49" i="1"/>
  <c r="BX49" i="1" s="1"/>
  <c r="CB49" i="1" s="1"/>
  <c r="CD49" i="1" s="1"/>
  <c r="CF49" i="1" s="1"/>
  <c r="CF56" i="1"/>
  <c r="BP75" i="1"/>
  <c r="BX75" i="1" s="1"/>
  <c r="CB75" i="1" s="1"/>
  <c r="CD75" i="1" s="1"/>
  <c r="CF75" i="1" s="1"/>
  <c r="BS119" i="1"/>
  <c r="CC119" i="1" s="1"/>
  <c r="BQ119" i="1"/>
  <c r="BY119" i="1" s="1"/>
  <c r="CB119" i="1" s="1"/>
  <c r="BP11" i="1"/>
  <c r="BX11" i="1" s="1"/>
  <c r="CB11" i="1" s="1"/>
  <c r="CD11" i="1" s="1"/>
  <c r="CF11" i="1" s="1"/>
  <c r="BS41" i="1"/>
  <c r="CC41" i="1" s="1"/>
  <c r="BP41" i="1"/>
  <c r="BX41" i="1" s="1"/>
  <c r="CB41" i="1" s="1"/>
  <c r="CD41" i="1" s="1"/>
  <c r="CF41" i="1" s="1"/>
  <c r="BO184" i="1"/>
  <c r="CA184" i="1" s="1"/>
  <c r="CF34" i="1"/>
  <c r="CB43" i="1"/>
  <c r="CD43" i="1" s="1"/>
  <c r="CF43" i="1" s="1"/>
  <c r="CB60" i="1"/>
  <c r="CD60" i="1" s="1"/>
  <c r="CF60" i="1" s="1"/>
  <c r="BQ97" i="1"/>
  <c r="BY97" i="1" s="1"/>
  <c r="CE97" i="1"/>
  <c r="BS140" i="1"/>
  <c r="CC140" i="1" s="1"/>
  <c r="BQ140" i="1"/>
  <c r="BY140" i="1" s="1"/>
  <c r="BP52" i="1"/>
  <c r="BX52" i="1" s="1"/>
  <c r="CB52" i="1" s="1"/>
  <c r="CD52" i="1" s="1"/>
  <c r="CF52" i="1" s="1"/>
  <c r="BP16" i="1"/>
  <c r="BX16" i="1" s="1"/>
  <c r="CB16" i="1" s="1"/>
  <c r="CD16" i="1" s="1"/>
  <c r="CF16" i="1" s="1"/>
  <c r="CB36" i="1"/>
  <c r="CD36" i="1" s="1"/>
  <c r="CF36" i="1" s="1"/>
  <c r="BP38" i="1"/>
  <c r="BX38" i="1" s="1"/>
  <c r="CB38" i="1" s="1"/>
  <c r="CD38" i="1" s="1"/>
  <c r="CF38" i="1" s="1"/>
  <c r="CB50" i="1"/>
  <c r="CD50" i="1" s="1"/>
  <c r="CF50" i="1" s="1"/>
  <c r="CD72" i="1"/>
  <c r="CF72" i="1" s="1"/>
  <c r="CA97" i="1"/>
  <c r="BX97" i="1"/>
  <c r="CF46" i="1"/>
  <c r="CF65" i="1"/>
  <c r="CB179" i="1"/>
  <c r="CD179" i="1" s="1"/>
  <c r="CF179" i="1" s="1"/>
  <c r="BP22" i="1"/>
  <c r="BX22" i="1" s="1"/>
  <c r="CB22" i="1" s="1"/>
  <c r="CB47" i="1"/>
  <c r="CD47" i="1" s="1"/>
  <c r="CF47" i="1" s="1"/>
  <c r="CA54" i="1"/>
  <c r="BS54" i="1"/>
  <c r="CC54" i="1" s="1"/>
  <c r="BP54" i="1"/>
  <c r="BX54" i="1" s="1"/>
  <c r="CA74" i="1"/>
  <c r="CB84" i="1"/>
  <c r="CD84" i="1" s="1"/>
  <c r="CF84" i="1" s="1"/>
  <c r="BP51" i="1"/>
  <c r="BX51" i="1" s="1"/>
  <c r="CB51" i="1" s="1"/>
  <c r="CD51" i="1" s="1"/>
  <c r="CF51" i="1" s="1"/>
  <c r="CB125" i="1"/>
  <c r="BS22" i="1"/>
  <c r="CC22" i="1" s="1"/>
  <c r="BP39" i="1"/>
  <c r="BX39" i="1" s="1"/>
  <c r="CB39" i="1" s="1"/>
  <c r="CD39" i="1" s="1"/>
  <c r="CF39" i="1" s="1"/>
  <c r="BP44" i="1"/>
  <c r="BX44" i="1" s="1"/>
  <c r="BS61" i="1"/>
  <c r="CC61" i="1" s="1"/>
  <c r="BP61" i="1"/>
  <c r="BX61" i="1" s="1"/>
  <c r="CB61" i="1" s="1"/>
  <c r="BP63" i="1"/>
  <c r="BX63" i="1" s="1"/>
  <c r="CB63" i="1" s="1"/>
  <c r="CA103" i="1"/>
  <c r="BS103" i="1"/>
  <c r="CC103" i="1" s="1"/>
  <c r="CA108" i="1"/>
  <c r="BZ108" i="1"/>
  <c r="BX108" i="1"/>
  <c r="CB108" i="1" s="1"/>
  <c r="BS120" i="1"/>
  <c r="CC120" i="1" s="1"/>
  <c r="CD121" i="1"/>
  <c r="CF121" i="1" s="1"/>
  <c r="BS125" i="1"/>
  <c r="CC125" i="1" s="1"/>
  <c r="BQ125" i="1"/>
  <c r="BY125" i="1" s="1"/>
  <c r="BS131" i="1"/>
  <c r="CC131" i="1" s="1"/>
  <c r="BQ131" i="1"/>
  <c r="BY131" i="1" s="1"/>
  <c r="CB131" i="1" s="1"/>
  <c r="CD131" i="1" s="1"/>
  <c r="CF131" i="1" s="1"/>
  <c r="BS63" i="1"/>
  <c r="CC63" i="1" s="1"/>
  <c r="BP77" i="1"/>
  <c r="BX77" i="1" s="1"/>
  <c r="CB77" i="1" s="1"/>
  <c r="CD77" i="1" s="1"/>
  <c r="CF77" i="1" s="1"/>
  <c r="BS90" i="1"/>
  <c r="CC90" i="1" s="1"/>
  <c r="BQ90" i="1"/>
  <c r="BY90" i="1" s="1"/>
  <c r="CB90" i="1" s="1"/>
  <c r="CD90" i="1" s="1"/>
  <c r="CF90" i="1" s="1"/>
  <c r="CA109" i="1"/>
  <c r="BS109" i="1"/>
  <c r="CC109" i="1" s="1"/>
  <c r="CA114" i="1"/>
  <c r="BX114" i="1"/>
  <c r="CB114" i="1" s="1"/>
  <c r="CD114" i="1" s="1"/>
  <c r="CF114" i="1" s="1"/>
  <c r="CA86" i="1"/>
  <c r="BS86" i="1"/>
  <c r="CC86" i="1" s="1"/>
  <c r="CB88" i="1"/>
  <c r="CD88" i="1" s="1"/>
  <c r="CF88" i="1" s="1"/>
  <c r="CB95" i="1"/>
  <c r="CD95" i="1" s="1"/>
  <c r="CF95" i="1" s="1"/>
  <c r="BS121" i="1"/>
  <c r="CC121" i="1" s="1"/>
  <c r="BS126" i="1"/>
  <c r="CC126" i="1" s="1"/>
  <c r="CB127" i="1"/>
  <c r="CD127" i="1" s="1"/>
  <c r="CF127" i="1" s="1"/>
  <c r="BS132" i="1"/>
  <c r="CC132" i="1" s="1"/>
  <c r="CD156" i="1"/>
  <c r="CF156" i="1" s="1"/>
  <c r="CB165" i="1"/>
  <c r="CD165" i="1" s="1"/>
  <c r="CF165" i="1" s="1"/>
  <c r="BP68" i="1"/>
  <c r="BX68" i="1" s="1"/>
  <c r="CB68" i="1" s="1"/>
  <c r="CD68" i="1" s="1"/>
  <c r="CF68" i="1" s="1"/>
  <c r="BP80" i="1"/>
  <c r="BX80" i="1" s="1"/>
  <c r="CB80" i="1" s="1"/>
  <c r="CD80" i="1" s="1"/>
  <c r="CF80" i="1" s="1"/>
  <c r="CB98" i="1"/>
  <c r="CD98" i="1" s="1"/>
  <c r="CF98" i="1" s="1"/>
  <c r="CB106" i="1"/>
  <c r="CD106" i="1" s="1"/>
  <c r="CF106" i="1" s="1"/>
  <c r="CA115" i="1"/>
  <c r="CB115" i="1" s="1"/>
  <c r="CD115" i="1" s="1"/>
  <c r="CF115" i="1" s="1"/>
  <c r="BS115" i="1"/>
  <c r="CC115" i="1" s="1"/>
  <c r="CA120" i="1"/>
  <c r="BX120" i="1"/>
  <c r="CB123" i="1"/>
  <c r="CD123" i="1" s="1"/>
  <c r="CF123" i="1" s="1"/>
  <c r="CE185" i="1"/>
  <c r="BZ185" i="1"/>
  <c r="CB185" i="1" s="1"/>
  <c r="CD185" i="1" s="1"/>
  <c r="CF185" i="1" s="1"/>
  <c r="BP74" i="1"/>
  <c r="BX74" i="1" s="1"/>
  <c r="CB74" i="1" s="1"/>
  <c r="CD74" i="1" s="1"/>
  <c r="CF74" i="1" s="1"/>
  <c r="CB112" i="1"/>
  <c r="CD112" i="1" s="1"/>
  <c r="CF112" i="1" s="1"/>
  <c r="CB129" i="1"/>
  <c r="CD129" i="1" s="1"/>
  <c r="CF129" i="1" s="1"/>
  <c r="CB133" i="1"/>
  <c r="CD133" i="1" s="1"/>
  <c r="CF133" i="1" s="1"/>
  <c r="CD139" i="1"/>
  <c r="CF139" i="1" s="1"/>
  <c r="CA142" i="1"/>
  <c r="BX142" i="1"/>
  <c r="BS142" i="1"/>
  <c r="CC142" i="1" s="1"/>
  <c r="CD168" i="1"/>
  <c r="CF168" i="1" s="1"/>
  <c r="BP78" i="1"/>
  <c r="BX78" i="1" s="1"/>
  <c r="CB78" i="1" s="1"/>
  <c r="CD78" i="1" s="1"/>
  <c r="CF78" i="1" s="1"/>
  <c r="BY86" i="1"/>
  <c r="CB86" i="1" s="1"/>
  <c r="CD86" i="1" s="1"/>
  <c r="CF86" i="1" s="1"/>
  <c r="BX92" i="1"/>
  <c r="CB92" i="1" s="1"/>
  <c r="CD92" i="1" s="1"/>
  <c r="CF92" i="1" s="1"/>
  <c r="CA126" i="1"/>
  <c r="BX126" i="1"/>
  <c r="CA132" i="1"/>
  <c r="BX132" i="1"/>
  <c r="CB132" i="1" s="1"/>
  <c r="CD132" i="1" s="1"/>
  <c r="CF132" i="1" s="1"/>
  <c r="CB135" i="1"/>
  <c r="CD135" i="1" s="1"/>
  <c r="CF135" i="1" s="1"/>
  <c r="CA155" i="1"/>
  <c r="BS155" i="1"/>
  <c r="CC155" i="1" s="1"/>
  <c r="CA160" i="1"/>
  <c r="BS160" i="1"/>
  <c r="CC160" i="1" s="1"/>
  <c r="BZ160" i="1"/>
  <c r="BP81" i="1"/>
  <c r="BX81" i="1" s="1"/>
  <c r="CB81" i="1" s="1"/>
  <c r="CD81" i="1" s="1"/>
  <c r="CF81" i="1" s="1"/>
  <c r="CE85" i="1"/>
  <c r="BZ86" i="1"/>
  <c r="CA87" i="1"/>
  <c r="BX87" i="1"/>
  <c r="CB87" i="1" s="1"/>
  <c r="CD87" i="1" s="1"/>
  <c r="CF87" i="1" s="1"/>
  <c r="BY91" i="1"/>
  <c r="CB91" i="1" s="1"/>
  <c r="CD91" i="1" s="1"/>
  <c r="CF91" i="1" s="1"/>
  <c r="BS96" i="1"/>
  <c r="CC96" i="1" s="1"/>
  <c r="BQ96" i="1"/>
  <c r="BY96" i="1" s="1"/>
  <c r="BS101" i="1"/>
  <c r="CC101" i="1" s="1"/>
  <c r="BQ101" i="1"/>
  <c r="BY101" i="1" s="1"/>
  <c r="CB101" i="1" s="1"/>
  <c r="CD101" i="1" s="1"/>
  <c r="CF101" i="1" s="1"/>
  <c r="CB118" i="1"/>
  <c r="CD118" i="1" s="1"/>
  <c r="CF118" i="1" s="1"/>
  <c r="CD148" i="1"/>
  <c r="CF148" i="1" s="1"/>
  <c r="BX181" i="1"/>
  <c r="CB181" i="1" s="1"/>
  <c r="CD181" i="1" s="1"/>
  <c r="CF181" i="1" s="1"/>
  <c r="BS181" i="1"/>
  <c r="CC181" i="1" s="1"/>
  <c r="BO180" i="1"/>
  <c r="CA180" i="1" s="1"/>
  <c r="CB180" i="1" s="1"/>
  <c r="CD180" i="1" s="1"/>
  <c r="CF180" i="1" s="1"/>
  <c r="BZ68" i="1"/>
  <c r="BS78" i="1"/>
  <c r="CC78" i="1" s="1"/>
  <c r="BS85" i="1"/>
  <c r="CC85" i="1" s="1"/>
  <c r="BS102" i="1"/>
  <c r="CC102" i="1" s="1"/>
  <c r="BX103" i="1"/>
  <c r="CB103" i="1" s="1"/>
  <c r="CD103" i="1" s="1"/>
  <c r="CF103" i="1" s="1"/>
  <c r="BS107" i="1"/>
  <c r="CC107" i="1" s="1"/>
  <c r="BQ107" i="1"/>
  <c r="BY107" i="1" s="1"/>
  <c r="CB107" i="1" s="1"/>
  <c r="CD107" i="1" s="1"/>
  <c r="CF107" i="1" s="1"/>
  <c r="CA127" i="1"/>
  <c r="BZ127" i="1"/>
  <c r="BP76" i="1"/>
  <c r="BX76" i="1" s="1"/>
  <c r="CB76" i="1" s="1"/>
  <c r="CD76" i="1" s="1"/>
  <c r="CF76" i="1" s="1"/>
  <c r="BS80" i="1"/>
  <c r="CC80" i="1" s="1"/>
  <c r="CB94" i="1"/>
  <c r="CD94" i="1" s="1"/>
  <c r="CF94" i="1" s="1"/>
  <c r="BS97" i="1"/>
  <c r="CC97" i="1" s="1"/>
  <c r="BX109" i="1"/>
  <c r="CB109" i="1" s="1"/>
  <c r="BS113" i="1"/>
  <c r="CC113" i="1" s="1"/>
  <c r="BQ113" i="1"/>
  <c r="BY113" i="1" s="1"/>
  <c r="CB113" i="1" s="1"/>
  <c r="CD113" i="1" s="1"/>
  <c r="CF113" i="1" s="1"/>
  <c r="CB124" i="1"/>
  <c r="CD124" i="1" s="1"/>
  <c r="CF124" i="1" s="1"/>
  <c r="BS147" i="1"/>
  <c r="CC147" i="1" s="1"/>
  <c r="BQ147" i="1"/>
  <c r="BY147" i="1" s="1"/>
  <c r="CB147" i="1" s="1"/>
  <c r="CD147" i="1" s="1"/>
  <c r="CF147" i="1" s="1"/>
  <c r="CB175" i="1"/>
  <c r="CD175" i="1" s="1"/>
  <c r="CF175" i="1" s="1"/>
  <c r="CB89" i="1"/>
  <c r="CD89" i="1" s="1"/>
  <c r="CF89" i="1" s="1"/>
  <c r="CF99" i="1"/>
  <c r="BS108" i="1"/>
  <c r="CC108" i="1" s="1"/>
  <c r="CB178" i="1"/>
  <c r="CD178" i="1" s="1"/>
  <c r="CF178" i="1" s="1"/>
  <c r="CB154" i="1"/>
  <c r="CD154" i="1" s="1"/>
  <c r="CF154" i="1" s="1"/>
  <c r="CA172" i="1"/>
  <c r="BZ172" i="1"/>
  <c r="BS172" i="1"/>
  <c r="CC172" i="1" s="1"/>
  <c r="CB174" i="1"/>
  <c r="CD174" i="1" s="1"/>
  <c r="CF174" i="1" s="1"/>
  <c r="BX93" i="1"/>
  <c r="CB93" i="1" s="1"/>
  <c r="CD93" i="1" s="1"/>
  <c r="CF93" i="1" s="1"/>
  <c r="BX104" i="1"/>
  <c r="CB104" i="1" s="1"/>
  <c r="CD104" i="1" s="1"/>
  <c r="CF104" i="1" s="1"/>
  <c r="BX110" i="1"/>
  <c r="CB110" i="1" s="1"/>
  <c r="CD110" i="1" s="1"/>
  <c r="CF110" i="1" s="1"/>
  <c r="BX116" i="1"/>
  <c r="CB116" i="1" s="1"/>
  <c r="CD116" i="1" s="1"/>
  <c r="CF116" i="1" s="1"/>
  <c r="BX122" i="1"/>
  <c r="CB122" i="1" s="1"/>
  <c r="CD122" i="1" s="1"/>
  <c r="CF122" i="1" s="1"/>
  <c r="BX128" i="1"/>
  <c r="CB128" i="1" s="1"/>
  <c r="CD128" i="1" s="1"/>
  <c r="CF128" i="1" s="1"/>
  <c r="CA134" i="1"/>
  <c r="CB134" i="1" s="1"/>
  <c r="CD134" i="1" s="1"/>
  <c r="CF134" i="1" s="1"/>
  <c r="CB143" i="1"/>
  <c r="CD143" i="1" s="1"/>
  <c r="CF143" i="1" s="1"/>
  <c r="BQ151" i="1"/>
  <c r="BY151" i="1" s="1"/>
  <c r="CB151" i="1" s="1"/>
  <c r="CD151" i="1" s="1"/>
  <c r="CF151" i="1" s="1"/>
  <c r="CE151" i="1"/>
  <c r="CB157" i="1"/>
  <c r="CD157" i="1" s="1"/>
  <c r="CF157" i="1" s="1"/>
  <c r="BX166" i="1"/>
  <c r="CA169" i="1"/>
  <c r="BS169" i="1"/>
  <c r="CC169" i="1" s="1"/>
  <c r="BX172" i="1"/>
  <c r="BQ144" i="1"/>
  <c r="BY144" i="1" s="1"/>
  <c r="CB144" i="1" s="1"/>
  <c r="CD144" i="1" s="1"/>
  <c r="CF144" i="1" s="1"/>
  <c r="BX152" i="1"/>
  <c r="BY157" i="1"/>
  <c r="CB164" i="1"/>
  <c r="CD164" i="1" s="1"/>
  <c r="CF164" i="1" s="1"/>
  <c r="CA176" i="1"/>
  <c r="BZ176" i="1"/>
  <c r="BS176" i="1"/>
  <c r="CC176" i="1" s="1"/>
  <c r="BQ102" i="1"/>
  <c r="BY102" i="1" s="1"/>
  <c r="BQ108" i="1"/>
  <c r="BY108" i="1" s="1"/>
  <c r="BQ114" i="1"/>
  <c r="BY114" i="1" s="1"/>
  <c r="BQ120" i="1"/>
  <c r="BY120" i="1" s="1"/>
  <c r="BQ126" i="1"/>
  <c r="BY126" i="1" s="1"/>
  <c r="BQ138" i="1"/>
  <c r="BY138" i="1" s="1"/>
  <c r="CB138" i="1" s="1"/>
  <c r="CD138" i="1" s="1"/>
  <c r="CF138" i="1" s="1"/>
  <c r="BS141" i="1"/>
  <c r="CC141" i="1" s="1"/>
  <c r="CD141" i="1" s="1"/>
  <c r="CF141" i="1" s="1"/>
  <c r="CE141" i="1"/>
  <c r="BQ154" i="1"/>
  <c r="BY154" i="1" s="1"/>
  <c r="BX182" i="1"/>
  <c r="CB182" i="1" s="1"/>
  <c r="BS182" i="1"/>
  <c r="CC182" i="1" s="1"/>
  <c r="CB183" i="1"/>
  <c r="CD183" i="1" s="1"/>
  <c r="CF183" i="1" s="1"/>
  <c r="BQ145" i="1"/>
  <c r="BY145" i="1" s="1"/>
  <c r="CB145" i="1" s="1"/>
  <c r="CD145" i="1" s="1"/>
  <c r="CF145" i="1" s="1"/>
  <c r="CE145" i="1"/>
  <c r="BS152" i="1"/>
  <c r="CC152" i="1" s="1"/>
  <c r="BQ152" i="1"/>
  <c r="BY152" i="1" s="1"/>
  <c r="BX163" i="1"/>
  <c r="BX146" i="1"/>
  <c r="CB146" i="1" s="1"/>
  <c r="CB161" i="1"/>
  <c r="CD161" i="1" s="1"/>
  <c r="CF161" i="1" s="1"/>
  <c r="CA166" i="1"/>
  <c r="BS166" i="1"/>
  <c r="CC166" i="1" s="1"/>
  <c r="BZ169" i="1"/>
  <c r="CB176" i="1"/>
  <c r="CD176" i="1" s="1"/>
  <c r="CF176" i="1" s="1"/>
  <c r="BQ136" i="1"/>
  <c r="BY136" i="1" s="1"/>
  <c r="CB136" i="1" s="1"/>
  <c r="CD136" i="1" s="1"/>
  <c r="CF136" i="1" s="1"/>
  <c r="BX155" i="1"/>
  <c r="CB155" i="1" s="1"/>
  <c r="CD155" i="1" s="1"/>
  <c r="CF155" i="1" s="1"/>
  <c r="BX160" i="1"/>
  <c r="CE184" i="1"/>
  <c r="BZ184" i="1"/>
  <c r="CB184" i="1" s="1"/>
  <c r="CD184" i="1" s="1"/>
  <c r="CF184" i="1" s="1"/>
  <c r="BQ130" i="1"/>
  <c r="BY130" i="1" s="1"/>
  <c r="CB130" i="1" s="1"/>
  <c r="CD130" i="1" s="1"/>
  <c r="CF130" i="1" s="1"/>
  <c r="BS146" i="1"/>
  <c r="CC146" i="1" s="1"/>
  <c r="BQ146" i="1"/>
  <c r="BY146" i="1" s="1"/>
  <c r="BX153" i="1"/>
  <c r="CB153" i="1" s="1"/>
  <c r="CD153" i="1" s="1"/>
  <c r="CF153" i="1" s="1"/>
  <c r="CB170" i="1"/>
  <c r="CD170" i="1" s="1"/>
  <c r="CF170" i="1" s="1"/>
  <c r="BX140" i="1"/>
  <c r="CB140" i="1" s="1"/>
  <c r="CD140" i="1" s="1"/>
  <c r="CF140" i="1" s="1"/>
  <c r="CA163" i="1"/>
  <c r="BS163" i="1"/>
  <c r="CC163" i="1" s="1"/>
  <c r="BS137" i="1"/>
  <c r="CC137" i="1" s="1"/>
  <c r="CD137" i="1" s="1"/>
  <c r="CF137" i="1" s="1"/>
  <c r="BQ142" i="1"/>
  <c r="BY142" i="1" s="1"/>
  <c r="BS153" i="1"/>
  <c r="CC153" i="1" s="1"/>
  <c r="BZ166" i="1"/>
  <c r="BX169" i="1"/>
  <c r="CD22" i="1" l="1"/>
  <c r="CF22" i="1" s="1"/>
  <c r="CD182" i="1"/>
  <c r="CF182" i="1" s="1"/>
  <c r="CD108" i="1"/>
  <c r="CF108" i="1" s="1"/>
  <c r="CD125" i="1"/>
  <c r="CF125" i="1" s="1"/>
  <c r="CB35" i="1"/>
  <c r="CD35" i="1" s="1"/>
  <c r="CF35" i="1" s="1"/>
  <c r="A11" i="10"/>
  <c r="CD7" i="1"/>
  <c r="CF7" i="1" s="1"/>
  <c r="CG153" i="1" s="1"/>
  <c r="A8" i="10"/>
  <c r="CD4" i="1"/>
  <c r="CF4" i="1" s="1"/>
  <c r="CD109" i="1"/>
  <c r="CF109" i="1" s="1"/>
  <c r="CB142" i="1"/>
  <c r="CD142" i="1" s="1"/>
  <c r="CF142" i="1" s="1"/>
  <c r="CB152" i="1"/>
  <c r="CD152" i="1" s="1"/>
  <c r="CF152" i="1" s="1"/>
  <c r="CB120" i="1"/>
  <c r="CD120" i="1" s="1"/>
  <c r="CF120" i="1" s="1"/>
  <c r="CD146" i="1"/>
  <c r="CF146" i="1" s="1"/>
  <c r="CB169" i="1"/>
  <c r="CD169" i="1" s="1"/>
  <c r="CF169" i="1" s="1"/>
  <c r="CB163" i="1"/>
  <c r="CD163" i="1" s="1"/>
  <c r="CF163" i="1" s="1"/>
  <c r="CB172" i="1"/>
  <c r="CD172" i="1" s="1"/>
  <c r="CF172" i="1" s="1"/>
  <c r="CD63" i="1"/>
  <c r="CF63" i="1" s="1"/>
  <c r="CB102" i="1"/>
  <c r="CD102" i="1" s="1"/>
  <c r="CF102" i="1" s="1"/>
  <c r="CB126" i="1"/>
  <c r="CD126" i="1" s="1"/>
  <c r="CF126" i="1" s="1"/>
  <c r="CD61" i="1"/>
  <c r="CF61" i="1" s="1"/>
  <c r="CB54" i="1"/>
  <c r="CD54" i="1" s="1"/>
  <c r="CF54" i="1" s="1"/>
  <c r="CB97" i="1"/>
  <c r="CD97" i="1" s="1"/>
  <c r="CF97" i="1" s="1"/>
  <c r="CB160" i="1"/>
  <c r="CD160" i="1" s="1"/>
  <c r="CF160" i="1" s="1"/>
  <c r="CG160" i="1" s="1"/>
  <c r="CB166" i="1"/>
  <c r="CD166" i="1" s="1"/>
  <c r="CF166" i="1" s="1"/>
  <c r="CB44" i="1"/>
  <c r="CD44" i="1" s="1"/>
  <c r="CF44" i="1" s="1"/>
  <c r="CG122" i="1" s="1"/>
  <c r="CD119" i="1"/>
  <c r="CF119" i="1" s="1"/>
  <c r="CB85" i="1"/>
  <c r="CD85" i="1" s="1"/>
  <c r="CF85" i="1" s="1"/>
  <c r="CG3" i="1" s="1"/>
  <c r="CG5" i="1"/>
  <c r="CG142" i="1" l="1"/>
  <c r="CG101" i="1"/>
  <c r="CG111" i="1"/>
  <c r="CG69" i="1"/>
  <c r="CG97" i="1"/>
  <c r="CG110" i="1"/>
  <c r="CG132" i="1"/>
  <c r="CG46" i="1"/>
  <c r="CG128" i="1"/>
  <c r="CG4" i="1"/>
  <c r="CG100" i="1"/>
  <c r="CG40" i="1"/>
  <c r="CG162" i="1"/>
  <c r="CG31" i="1"/>
  <c r="CG58" i="1"/>
  <c r="CG167" i="1"/>
  <c r="CG105" i="1"/>
  <c r="CG64" i="1"/>
  <c r="CG32" i="1"/>
  <c r="CG171" i="1"/>
  <c r="CG42" i="1"/>
  <c r="CG150" i="1"/>
  <c r="CG79" i="1"/>
  <c r="CG158" i="1"/>
  <c r="CG30" i="1"/>
  <c r="CG19" i="1"/>
  <c r="CG59" i="1"/>
  <c r="CG159" i="1"/>
  <c r="CG25" i="1"/>
  <c r="CG57" i="1"/>
  <c r="CG71" i="1"/>
  <c r="CG37" i="1"/>
  <c r="CG45" i="1"/>
  <c r="CG53" i="1"/>
  <c r="CG177" i="1"/>
  <c r="CG70" i="1"/>
  <c r="CG149" i="1"/>
  <c r="CG66" i="1"/>
  <c r="CG82" i="1"/>
  <c r="CG83" i="1"/>
  <c r="CG117" i="1"/>
  <c r="CG170" i="1"/>
  <c r="CG14" i="1"/>
  <c r="CG154" i="1"/>
  <c r="CG78" i="1"/>
  <c r="CG81" i="1"/>
  <c r="CG185" i="1"/>
  <c r="CG173" i="1"/>
  <c r="CG114" i="1"/>
  <c r="CG54" i="1"/>
  <c r="CG18" i="1"/>
  <c r="CG172" i="1"/>
  <c r="CG94" i="1"/>
  <c r="CG120" i="1"/>
  <c r="CG21" i="1"/>
  <c r="CG143" i="1"/>
  <c r="CG17" i="1"/>
  <c r="CG183" i="1"/>
  <c r="CG148" i="1"/>
  <c r="CG151" i="1"/>
  <c r="CG178" i="1"/>
  <c r="CG116" i="1"/>
  <c r="CG135" i="1"/>
  <c r="CG7" i="1"/>
  <c r="CG24" i="1"/>
  <c r="CG182" i="1"/>
  <c r="CG56" i="1"/>
  <c r="CG107" i="1"/>
  <c r="CG91" i="1"/>
  <c r="CG39" i="1"/>
  <c r="CG9" i="1"/>
  <c r="CG144" i="1"/>
  <c r="CG49" i="1"/>
  <c r="CG140" i="1"/>
  <c r="CG34" i="1"/>
  <c r="CG157" i="1"/>
  <c r="CG147" i="1"/>
  <c r="CG136" i="1"/>
  <c r="CG184" i="1"/>
  <c r="CG85" i="1"/>
  <c r="CG44" i="1"/>
  <c r="CG112" i="1"/>
  <c r="CG181" i="1"/>
  <c r="CG146" i="1"/>
  <c r="CG152" i="1"/>
  <c r="CG20" i="1"/>
  <c r="CG35" i="1"/>
  <c r="CG36" i="1"/>
  <c r="CG38" i="1"/>
  <c r="CG73" i="1"/>
  <c r="CG155" i="1"/>
  <c r="CG86" i="1"/>
  <c r="CG106" i="1"/>
  <c r="CG61" i="1"/>
  <c r="CG129" i="1"/>
  <c r="CG23" i="1"/>
  <c r="CG179" i="1"/>
  <c r="CG22" i="1"/>
  <c r="CG75" i="1"/>
  <c r="CG10" i="1"/>
  <c r="CG180" i="1"/>
  <c r="CG11" i="1"/>
  <c r="CG119" i="1"/>
  <c r="CG169" i="1"/>
  <c r="CG161" i="1"/>
  <c r="CG27" i="1"/>
  <c r="CG65" i="1"/>
  <c r="CG33" i="1"/>
  <c r="CG125" i="1"/>
  <c r="CG165" i="1"/>
  <c r="CG43" i="1"/>
  <c r="CG67" i="1"/>
  <c r="CG130" i="1"/>
  <c r="CG145" i="1"/>
  <c r="CG29" i="1"/>
  <c r="CG163" i="1"/>
  <c r="CG88" i="1"/>
  <c r="CG76" i="1"/>
  <c r="CG63" i="1"/>
  <c r="CG13" i="1"/>
  <c r="CG90" i="1"/>
  <c r="CG41" i="1"/>
  <c r="CG108" i="1"/>
  <c r="CG118" i="1"/>
  <c r="CG50" i="1"/>
  <c r="CG96" i="1"/>
  <c r="CG28" i="1"/>
  <c r="CG137" i="1"/>
  <c r="CG87" i="1"/>
  <c r="CG176" i="1"/>
  <c r="CG98" i="1"/>
  <c r="CG55" i="1"/>
  <c r="CG92" i="1"/>
  <c r="CG126" i="1"/>
  <c r="CG175" i="1"/>
  <c r="CG95" i="1"/>
  <c r="CG127" i="1"/>
  <c r="CG16" i="1"/>
  <c r="CG156" i="1"/>
  <c r="CG103" i="1"/>
  <c r="CG47" i="1"/>
  <c r="CG60" i="1"/>
  <c r="CG138" i="1"/>
  <c r="CG115" i="1"/>
  <c r="CG77" i="1"/>
  <c r="CG102" i="1"/>
  <c r="CG74" i="1"/>
  <c r="CG93" i="1"/>
  <c r="CG26" i="1"/>
  <c r="CG84" i="1"/>
  <c r="CG174" i="1"/>
  <c r="CG89" i="1"/>
  <c r="CG48" i="1"/>
  <c r="CG62" i="1"/>
  <c r="CG166" i="1"/>
  <c r="CG2" i="1"/>
  <c r="CG104" i="1"/>
  <c r="CG133" i="1"/>
  <c r="CG12" i="1"/>
  <c r="CG8" i="1"/>
  <c r="CG123" i="1"/>
  <c r="CG51" i="1"/>
  <c r="CG168" i="1"/>
  <c r="CG124" i="1"/>
  <c r="CG121" i="1"/>
  <c r="CG72" i="1"/>
  <c r="CG134" i="1"/>
  <c r="CG141" i="1"/>
  <c r="CG99" i="1"/>
  <c r="CG139" i="1"/>
  <c r="CG52" i="1"/>
  <c r="CG109" i="1"/>
  <c r="CG6" i="1"/>
  <c r="CG164" i="1"/>
  <c r="CG113" i="1"/>
  <c r="CG68" i="1"/>
  <c r="CG80" i="1"/>
  <c r="CG15" i="1"/>
  <c r="CG131" i="1"/>
</calcChain>
</file>

<file path=xl/sharedStrings.xml><?xml version="1.0" encoding="utf-8"?>
<sst xmlns="http://schemas.openxmlformats.org/spreadsheetml/2006/main" count="887" uniqueCount="302">
  <si>
    <t>player_id</t>
  </si>
  <si>
    <t>player</t>
  </si>
  <si>
    <t>role</t>
  </si>
  <si>
    <t>is_batsman_1</t>
  </si>
  <si>
    <t>is_bowler_1</t>
  </si>
  <si>
    <t>is_allrounder_1</t>
  </si>
  <si>
    <t>is_wicket_keeper_1</t>
  </si>
  <si>
    <t>innings</t>
  </si>
  <si>
    <t>matches</t>
  </si>
  <si>
    <t>runs_normalised</t>
  </si>
  <si>
    <t>runs</t>
  </si>
  <si>
    <t>batting_impact</t>
  </si>
  <si>
    <t>bowling_impact</t>
  </si>
  <si>
    <t>batting_position</t>
  </si>
  <si>
    <t>batting_positions</t>
  </si>
  <si>
    <t>nationality</t>
  </si>
  <si>
    <t>nationality_enc</t>
  </si>
  <si>
    <t>age</t>
  </si>
  <si>
    <t>high_score</t>
  </si>
  <si>
    <t>batting_average</t>
  </si>
  <si>
    <t>batting_avg_normalization</t>
  </si>
  <si>
    <t>strike_rate</t>
  </si>
  <si>
    <t>strike_rate_norm</t>
  </si>
  <si>
    <t>4s</t>
  </si>
  <si>
    <t>6s</t>
  </si>
  <si>
    <t>100s</t>
  </si>
  <si>
    <t>50s</t>
  </si>
  <si>
    <t>auction_price_cr</t>
  </si>
  <si>
    <t>price_flag</t>
  </si>
  <si>
    <t>base_price_cr</t>
  </si>
  <si>
    <t>approximate_big_match_index</t>
  </si>
  <si>
    <t>approximate_big_match_index_norm</t>
  </si>
  <si>
    <t>vfm</t>
  </si>
  <si>
    <t>vfm_norm</t>
  </si>
  <si>
    <t>consistency_score</t>
  </si>
  <si>
    <t>consistency_score_norm</t>
  </si>
  <si>
    <t>wickets</t>
  </si>
  <si>
    <t>overs_bowled</t>
  </si>
  <si>
    <t>economy_rate</t>
  </si>
  <si>
    <t>economy_rate_norm</t>
  </si>
  <si>
    <t>death_over_economy_norm</t>
  </si>
  <si>
    <t>death_over_economy_rate</t>
  </si>
  <si>
    <t>risk_rate_norm</t>
  </si>
  <si>
    <t>risk_rating</t>
  </si>
  <si>
    <t xml:space="preserve">approximate_wickets_per_match </t>
  </si>
  <si>
    <t xml:space="preserve">approximate_wickets_per_match_norm
</t>
  </si>
  <si>
    <t>dot_ball_percentage</t>
  </si>
  <si>
    <t>dot_ball_percentage_norm</t>
  </si>
  <si>
    <t>bat_percentage</t>
  </si>
  <si>
    <t>bat_percentage_normalized</t>
  </si>
  <si>
    <t>total_dismissals</t>
  </si>
  <si>
    <t>total_dismissal_normalized</t>
  </si>
  <si>
    <t>stump_percentage</t>
  </si>
  <si>
    <t>stump_percentage_normalized</t>
  </si>
  <si>
    <t>bowl_percentage</t>
  </si>
  <si>
    <t>bowling_avg</t>
  </si>
  <si>
    <t>recent_form_score</t>
  </si>
  <si>
    <t>recent_form_score_norm</t>
  </si>
  <si>
    <t>player_category</t>
  </si>
  <si>
    <t xml:space="preserve">last_season_performance </t>
  </si>
  <si>
    <t>last_season_performance_norm</t>
  </si>
  <si>
    <t>performance_vs_spin</t>
  </si>
  <si>
    <t>performance_vs_spin_norm</t>
  </si>
  <si>
    <t>performance_vs_pace</t>
  </si>
  <si>
    <t>performance_vs_pace_norm</t>
  </si>
  <si>
    <t>allrounder_score</t>
  </si>
  <si>
    <t>wicket_keeper_score</t>
  </si>
  <si>
    <t>batsmen_score</t>
  </si>
  <si>
    <t>bowler_score</t>
  </si>
  <si>
    <t>venue_impact_score_hm</t>
  </si>
  <si>
    <t>away_impact_score_hm</t>
  </si>
  <si>
    <t>select_player</t>
  </si>
  <si>
    <t>BU</t>
  </si>
  <si>
    <t>player_score</t>
  </si>
  <si>
    <t>player_score_normalised</t>
  </si>
  <si>
    <t>batting_fantasy_score</t>
  </si>
  <si>
    <t>bowler_fantasy_score</t>
  </si>
  <si>
    <t>all_rounder_fantasy_score</t>
  </si>
  <si>
    <t>wicket_keeper_fantasy_score</t>
  </si>
  <si>
    <t>base_fantasy_points</t>
  </si>
  <si>
    <t>venue_mul</t>
  </si>
  <si>
    <t>venue_fp</t>
  </si>
  <si>
    <t>risk_mul</t>
  </si>
  <si>
    <t>predicted_fantasy_points</t>
  </si>
  <si>
    <t>rank</t>
  </si>
  <si>
    <t>Shubman Gill</t>
  </si>
  <si>
    <t>Batsman</t>
  </si>
  <si>
    <t>Opener</t>
  </si>
  <si>
    <t>India</t>
  </si>
  <si>
    <t>Surya Kumar Yadav</t>
  </si>
  <si>
    <t>Middle</t>
  </si>
  <si>
    <t>Virat Kohli</t>
  </si>
  <si>
    <t>Rajat Patidar</t>
  </si>
  <si>
    <t>Phil Salt</t>
  </si>
  <si>
    <t>England</t>
  </si>
  <si>
    <t>Nicholas Pooran</t>
  </si>
  <si>
    <t>Finisher</t>
  </si>
  <si>
    <t>West Indies</t>
  </si>
  <si>
    <t>Ruturaj Gaikwad</t>
  </si>
  <si>
    <t>Yashasvi Jaiswal</t>
  </si>
  <si>
    <t>Faf du Plessis</t>
  </si>
  <si>
    <t>South Africa</t>
  </si>
  <si>
    <t>Travis Head</t>
  </si>
  <si>
    <t>Australia</t>
  </si>
  <si>
    <t>Heinrich Klaasen</t>
  </si>
  <si>
    <t>Riyan Parag</t>
  </si>
  <si>
    <t>Rishab Pant</t>
  </si>
  <si>
    <t>Jake Fraser-McGurk</t>
  </si>
  <si>
    <t>Lokesh Rahul</t>
  </si>
  <si>
    <t>Rilee Rossouw</t>
  </si>
  <si>
    <t>Sanju Samson</t>
  </si>
  <si>
    <t>Tilak Varma</t>
  </si>
  <si>
    <t>Marcus Stoinis</t>
  </si>
  <si>
    <t>Shivam Dube</t>
  </si>
  <si>
    <t>Jos Buttler</t>
  </si>
  <si>
    <t>Venkatesh Iyer</t>
  </si>
  <si>
    <t>David Warner</t>
  </si>
  <si>
    <t>Nitish Rana</t>
  </si>
  <si>
    <t>Simran Singh</t>
  </si>
  <si>
    <t>Jonny Bairstow</t>
  </si>
  <si>
    <t>Tristan Stubbs</t>
  </si>
  <si>
    <t>Quinton de Kock</t>
  </si>
  <si>
    <t>Shikhar Dhawan</t>
  </si>
  <si>
    <t>Liam Livingstone</t>
  </si>
  <si>
    <t>Rahul Tripathi</t>
  </si>
  <si>
    <t>Shashank Singh</t>
  </si>
  <si>
    <t>David Miller</t>
  </si>
  <si>
    <t>Cameron Green</t>
  </si>
  <si>
    <t>Ishan Kishan</t>
  </si>
  <si>
    <t>Rohit Sharma</t>
  </si>
  <si>
    <t>Ajinkya Rahane</t>
  </si>
  <si>
    <t>Ayush Badoni</t>
  </si>
  <si>
    <t>Shreyas Iyer</t>
  </si>
  <si>
    <t>Dinesh Karthik</t>
  </si>
  <si>
    <t>Tim David</t>
  </si>
  <si>
    <t>Prithvi Shaw</t>
  </si>
  <si>
    <t>Shahrukh Khan</t>
  </si>
  <si>
    <t>New Zealand</t>
  </si>
  <si>
    <t>Daryl Mitchell</t>
  </si>
  <si>
    <t>Mayank Agarwal</t>
  </si>
  <si>
    <t>Jason Roy</t>
  </si>
  <si>
    <t>Devon Conway</t>
  </si>
  <si>
    <t>Abishek Porel</t>
  </si>
  <si>
    <t>Afghanistan</t>
  </si>
  <si>
    <t>Rinku Singh</t>
  </si>
  <si>
    <t>Shimron Hetmyer</t>
  </si>
  <si>
    <t>Vijay Shankar</t>
  </si>
  <si>
    <t>Rahul Tewatia</t>
  </si>
  <si>
    <t>Jitesh Sharma</t>
  </si>
  <si>
    <t>MS Dhoni</t>
  </si>
  <si>
    <t>Will Jacks</t>
  </si>
  <si>
    <t>Wriddhiman Saha</t>
  </si>
  <si>
    <t>Manish Pandey</t>
  </si>
  <si>
    <t>Atharva Taide</t>
  </si>
  <si>
    <t>Nehal Wadhera</t>
  </si>
  <si>
    <t>Abdul Samad</t>
  </si>
  <si>
    <t>Mahipal Lomror</t>
  </si>
  <si>
    <t>Nitish Kumar Reddy</t>
  </si>
  <si>
    <t>Dhruv Jurel</t>
  </si>
  <si>
    <t>Deepak Hooda</t>
  </si>
  <si>
    <t>Rachin Ravindra</t>
  </si>
  <si>
    <t>Krunal Pandya</t>
  </si>
  <si>
    <t>Kyle Mayers</t>
  </si>
  <si>
    <t>Anuj Rawat</t>
  </si>
  <si>
    <t>Zimbabwe</t>
  </si>
  <si>
    <t>Sikandar Raza</t>
  </si>
  <si>
    <t>Devdutt Padikkal</t>
  </si>
  <si>
    <t>Ambati Rayudu</t>
  </si>
  <si>
    <t>Rovman Powell</t>
  </si>
  <si>
    <t>Shai Hope</t>
  </si>
  <si>
    <t>Rahmanullah Gurbaz</t>
  </si>
  <si>
    <t>Naman Dhir</t>
  </si>
  <si>
    <t>Lalit Yadav</t>
  </si>
  <si>
    <t>Ashutosh Sharma</t>
  </si>
  <si>
    <t>Anmolpreet Singh</t>
  </si>
  <si>
    <t>Angkrish Raghuvanshi</t>
  </si>
  <si>
    <t>Krishnappa Gowtham</t>
  </si>
  <si>
    <t>Ramandeep Singh</t>
  </si>
  <si>
    <t>Mitchell Starc</t>
  </si>
  <si>
    <t>Bowler</t>
  </si>
  <si>
    <t>Tail</t>
  </si>
  <si>
    <t>Matheesha Pathirana</t>
  </si>
  <si>
    <t>Sri Lanka</t>
  </si>
  <si>
    <t>Naveen-ul-Haq</t>
  </si>
  <si>
    <t>Mukesh Kumar</t>
  </si>
  <si>
    <t>Mohit Sharma</t>
  </si>
  <si>
    <t>Harshit Rana</t>
  </si>
  <si>
    <t>Harshal Patel</t>
  </si>
  <si>
    <t>Tushar Deshpande</t>
  </si>
  <si>
    <t>Avesh Khan</t>
  </si>
  <si>
    <t>Mustafizur Rahman</t>
  </si>
  <si>
    <t>Bangladesh</t>
  </si>
  <si>
    <t>Arshdeep Singh</t>
  </si>
  <si>
    <t>Varun Chakravarthy</t>
  </si>
  <si>
    <t>Yuzvendra Chahal</t>
  </si>
  <si>
    <t>Yash Thakur</t>
  </si>
  <si>
    <t>Ishant Sharma</t>
  </si>
  <si>
    <t>frahul</t>
  </si>
  <si>
    <t>Piyush Chawla</t>
  </si>
  <si>
    <t>Akash Mandwaal</t>
  </si>
  <si>
    <t>Lockie Ferguson</t>
  </si>
  <si>
    <t>Karn Sharma</t>
  </si>
  <si>
    <t>Mayank Markande</t>
  </si>
  <si>
    <t>Amit Mishra</t>
  </si>
  <si>
    <t>Khaleel Ahmed</t>
  </si>
  <si>
    <t>Kagiso Rabada</t>
  </si>
  <si>
    <t>Mohsin Khan</t>
  </si>
  <si>
    <t>Trent Boult</t>
  </si>
  <si>
    <t>Mohammed Siraj</t>
  </si>
  <si>
    <t>Yash Dayal</t>
  </si>
  <si>
    <t>T Natarajan</t>
  </si>
  <si>
    <t>Deepak Chahar</t>
  </si>
  <si>
    <t>Sandeep Sharma</t>
  </si>
  <si>
    <t>Umran Malik</t>
  </si>
  <si>
    <t>Jasprit Bumrah</t>
  </si>
  <si>
    <t>Nathan Ellis</t>
  </si>
  <si>
    <t>Marco Jansen</t>
  </si>
  <si>
    <t>Umesh Yadav</t>
  </si>
  <si>
    <t>Mohammad Shami</t>
  </si>
  <si>
    <t>Ravisrinivasan Sai Kishore</t>
  </si>
  <si>
    <t>Rahul Chahar</t>
  </si>
  <si>
    <t>Vaibhav Arora</t>
  </si>
  <si>
    <t>Adam Zampa</t>
  </si>
  <si>
    <t>Jaydev Unadkat</t>
  </si>
  <si>
    <t>Gerald Coetzee</t>
  </si>
  <si>
    <t>Alzarri Joseph</t>
  </si>
  <si>
    <t>Wayne Parnell</t>
  </si>
  <si>
    <t>Wanindu Hasaranga</t>
  </si>
  <si>
    <t>Noor Ahmad</t>
  </si>
  <si>
    <t>Afghan</t>
  </si>
  <si>
    <t>Joshua Little</t>
  </si>
  <si>
    <t>Irish</t>
  </si>
  <si>
    <t>Vijaykumar Vyshak</t>
  </si>
  <si>
    <t>Maheesh Theekshana</t>
  </si>
  <si>
    <t>Rasikh Salam</t>
  </si>
  <si>
    <t>Jason Holder</t>
  </si>
  <si>
    <t>Nandre Burger</t>
  </si>
  <si>
    <t>Riley Meredith</t>
  </si>
  <si>
    <t>Sandeep Warrier</t>
  </si>
  <si>
    <t>Nuwan Thushara</t>
  </si>
  <si>
    <t>Jason Behrendorff</t>
  </si>
  <si>
    <t>Chris Jordan</t>
  </si>
  <si>
    <t>English</t>
  </si>
  <si>
    <t>Mitchell Santner</t>
  </si>
  <si>
    <t>Swapnil Singh</t>
  </si>
  <si>
    <t>Reece Topley</t>
  </si>
  <si>
    <t>Arshad Khan</t>
  </si>
  <si>
    <t>Michael Bracewell</t>
  </si>
  <si>
    <t>Yudhvir Singh</t>
  </si>
  <si>
    <t>Mohammad Nabi</t>
  </si>
  <si>
    <t>Spencer Johnson</t>
  </si>
  <si>
    <t>Kumar Kartikeya</t>
  </si>
  <si>
    <t>Rishi Dhawan</t>
  </si>
  <si>
    <t>Suyash Sharma</t>
  </si>
  <si>
    <t>Akash Singh</t>
  </si>
  <si>
    <t>Anukul Roy</t>
  </si>
  <si>
    <t>Jofra Archer</t>
  </si>
  <si>
    <t>Arjun Tendulkar</t>
  </si>
  <si>
    <t>Zimbabwean</t>
  </si>
  <si>
    <t>Sam Curran</t>
  </si>
  <si>
    <t>All-rounder</t>
  </si>
  <si>
    <t>Hardik Pandya</t>
  </si>
  <si>
    <t>Romario Shepherd</t>
  </si>
  <si>
    <t>Lower</t>
  </si>
  <si>
    <t>Patrick Cummins</t>
  </si>
  <si>
    <t>Mitchell Marsh</t>
  </si>
  <si>
    <t>Ravindra Jadeja</t>
  </si>
  <si>
    <t>Sunil Narine</t>
  </si>
  <si>
    <t>Moeen Ali</t>
  </si>
  <si>
    <t>Glenn Maxwell</t>
  </si>
  <si>
    <t>Shahbaz Ahmed</t>
  </si>
  <si>
    <t>Washington Sundar</t>
  </si>
  <si>
    <t>Harpreet Brar</t>
  </si>
  <si>
    <t>Kuldeep Yadav</t>
  </si>
  <si>
    <t>Akshar Patel</t>
  </si>
  <si>
    <t>Ravichandran Ashwin</t>
  </si>
  <si>
    <t>Anrich Nortje</t>
  </si>
  <si>
    <t>Abhishek Sharma</t>
  </si>
  <si>
    <t>Bhuvneshwar Kumar</t>
  </si>
  <si>
    <t>Ravi Bishnoi</t>
  </si>
  <si>
    <t>Aiden Markram</t>
  </si>
  <si>
    <t xml:space="preserve"> Noor Ahmad</t>
  </si>
  <si>
    <t>KL Rahul</t>
  </si>
  <si>
    <t>Wicket-Keeper</t>
  </si>
  <si>
    <t>Upper</t>
  </si>
  <si>
    <t>Prabhsimran Singh</t>
  </si>
  <si>
    <t>KS Bharat</t>
  </si>
  <si>
    <t>Ryan Rickelton</t>
  </si>
  <si>
    <t>Josh Inglis</t>
  </si>
  <si>
    <t>tot_wk</t>
  </si>
  <si>
    <t>tot_batsman</t>
  </si>
  <si>
    <t>tot_bowlers</t>
  </si>
  <si>
    <t>tot_all_rounders</t>
  </si>
  <si>
    <t xml:space="preserve">player </t>
  </si>
  <si>
    <t>predicted_fantacy_points</t>
  </si>
  <si>
    <t xml:space="preserve"> is_wicket_keeper_1 </t>
  </si>
  <si>
    <t xml:space="preserve"> is_allrounder_1 </t>
  </si>
  <si>
    <t>Foreign</t>
  </si>
  <si>
    <t>Domestic</t>
  </si>
  <si>
    <t>Total</t>
  </si>
  <si>
    <t>Total_Domestic_Players</t>
  </si>
  <si>
    <t>Total_Foreign_Players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</si>
</sst>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9"/>
      <color rgb="FF000000"/>
      <name val="Roboto"/>
    </font>
    <font>
      <b/>
      <sz val="10"/>
      <color rgb="FF000000"/>
      <name val="Roboto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Arial"/>
    </font>
    <font>
      <b/>
      <sz val="11"/>
      <color rgb="FF1F1F1F"/>
      <name val="Arial"/>
      <scheme val="minor"/>
    </font>
    <font>
      <sz val="11"/>
      <color rgb="FF1F1F1F"/>
      <name val="Arial"/>
    </font>
    <font>
      <sz val="11"/>
      <color rgb="FF1F1F1F"/>
      <name val="Arial"/>
      <scheme val="minor"/>
    </font>
    <font>
      <sz val="11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rgb="FFEAECEE"/>
      </left>
      <right style="thin">
        <color rgb="FFD9DBE0"/>
      </right>
      <top style="thin">
        <color rgb="FFD9DBE0"/>
      </top>
      <bottom style="thin">
        <color rgb="FFEAECEE"/>
      </bottom>
      <diagonal/>
    </border>
    <border>
      <left/>
      <right/>
      <top/>
      <bottom style="thin">
        <color rgb="FFEDEEF0"/>
      </bottom>
      <diagonal/>
    </border>
    <border>
      <left style="thin">
        <color rgb="FFEAECEE"/>
      </left>
      <right style="thin">
        <color rgb="FFD9DBE0"/>
      </right>
      <top style="thin">
        <color rgb="FFEAECEE"/>
      </top>
      <bottom style="thin">
        <color rgb="FFD9DBE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/>
    </xf>
    <xf numFmtId="4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4" fontId="9" fillId="0" borderId="0" xfId="0" applyNumberFormat="1" applyFont="1"/>
    <xf numFmtId="4" fontId="9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4" fillId="4" borderId="0" xfId="0" applyFont="1" applyFill="1"/>
    <xf numFmtId="0" fontId="9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4" fillId="2" borderId="0" xfId="0" applyFont="1" applyFill="1"/>
    <xf numFmtId="0" fontId="15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9.1091954022988503E-2"/>
          <c:y val="6.8867924528301885E-2"/>
          <c:w val="0.92892720306513421"/>
          <c:h val="0.8999999999999999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369-4266-99CA-74C64F0C353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369-4266-99CA-74C64F0C353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369-4266-99CA-74C64F0C353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369-4266-99CA-74C64F0C3530}"/>
              </c:ext>
            </c:extLst>
          </c:dPt>
          <c:cat>
            <c:strRef>
              <c:f>Mastersheet!$C$186:$C$189</c:f>
              <c:strCache>
                <c:ptCount val="4"/>
                <c:pt idx="0">
                  <c:v>tot_wk</c:v>
                </c:pt>
                <c:pt idx="1">
                  <c:v>tot_batsman</c:v>
                </c:pt>
                <c:pt idx="2">
                  <c:v>tot_bowlers</c:v>
                </c:pt>
                <c:pt idx="3">
                  <c:v>tot_all_rounders</c:v>
                </c:pt>
              </c:strCache>
            </c:strRef>
          </c:cat>
          <c:val>
            <c:numRef>
              <c:f>Mastersheet!$D$186:$D$189</c:f>
              <c:numCache>
                <c:formatCode>General</c:formatCode>
                <c:ptCount val="4"/>
                <c:pt idx="0">
                  <c:v>8</c:v>
                </c:pt>
                <c:pt idx="1">
                  <c:v>190</c:v>
                </c:pt>
                <c:pt idx="2">
                  <c:v>73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69-4266-99CA-74C64F0C3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IN" b="1">
                <a:solidFill>
                  <a:srgbClr val="000000"/>
                </a:solidFill>
                <a:latin typeface="+mn-lt"/>
              </a:rPr>
              <a:t>predicted_fantacy_points vs. player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'Top 22'!$B$1</c:f>
              <c:strCache>
                <c:ptCount val="1"/>
                <c:pt idx="0">
                  <c:v>predicted_fantacy_points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'Top 22'!$A$2:$A$23</c:f>
              <c:strCache>
                <c:ptCount val="22"/>
                <c:pt idx="0">
                  <c:v>Mukesh Kumar</c:v>
                </c:pt>
                <c:pt idx="1">
                  <c:v>Heinrich Klaasen</c:v>
                </c:pt>
                <c:pt idx="2">
                  <c:v>Sanju Samson</c:v>
                </c:pt>
                <c:pt idx="3">
                  <c:v>Surya Kumar Yadav</c:v>
                </c:pt>
                <c:pt idx="4">
                  <c:v>Liam Livingstone</c:v>
                </c:pt>
                <c:pt idx="5">
                  <c:v>Cameron Green</c:v>
                </c:pt>
                <c:pt idx="6">
                  <c:v>Lalit Yadav</c:v>
                </c:pt>
                <c:pt idx="7">
                  <c:v>Kyle Mayers</c:v>
                </c:pt>
                <c:pt idx="8">
                  <c:v>Mitchell Starc</c:v>
                </c:pt>
                <c:pt idx="9">
                  <c:v>Nitish Kumar Reddy</c:v>
                </c:pt>
                <c:pt idx="10">
                  <c:v>Jasprit Bumrah</c:v>
                </c:pt>
                <c:pt idx="11">
                  <c:v>Travis Head</c:v>
                </c:pt>
                <c:pt idx="12">
                  <c:v>Nicholas Pooran</c:v>
                </c:pt>
                <c:pt idx="13">
                  <c:v>MS Dhoni</c:v>
                </c:pt>
                <c:pt idx="14">
                  <c:v>Virat Kohli</c:v>
                </c:pt>
                <c:pt idx="15">
                  <c:v>Shubman Gill</c:v>
                </c:pt>
                <c:pt idx="16">
                  <c:v>Matheesha Pathirana</c:v>
                </c:pt>
                <c:pt idx="17">
                  <c:v>Krunal Pandya</c:v>
                </c:pt>
                <c:pt idx="18">
                  <c:v>Ruturaj Gaikwad</c:v>
                </c:pt>
                <c:pt idx="19">
                  <c:v>Naveen-ul-Haq</c:v>
                </c:pt>
                <c:pt idx="20">
                  <c:v>Krishnappa Gowtham</c:v>
                </c:pt>
                <c:pt idx="21">
                  <c:v>Phil Salt</c:v>
                </c:pt>
              </c:strCache>
            </c:strRef>
          </c:cat>
          <c:val>
            <c:numRef>
              <c:f>'Top 22'!$B$2:$B$23</c:f>
              <c:numCache>
                <c:formatCode>General</c:formatCode>
                <c:ptCount val="22"/>
                <c:pt idx="0">
                  <c:v>63.96</c:v>
                </c:pt>
                <c:pt idx="1">
                  <c:v>82.8</c:v>
                </c:pt>
                <c:pt idx="2">
                  <c:v>73.48</c:v>
                </c:pt>
                <c:pt idx="3">
                  <c:v>53.08</c:v>
                </c:pt>
                <c:pt idx="4">
                  <c:v>35</c:v>
                </c:pt>
                <c:pt idx="5">
                  <c:v>42.13</c:v>
                </c:pt>
                <c:pt idx="6">
                  <c:v>26.5</c:v>
                </c:pt>
                <c:pt idx="7">
                  <c:v>26.07</c:v>
                </c:pt>
                <c:pt idx="8">
                  <c:v>32.21</c:v>
                </c:pt>
                <c:pt idx="9">
                  <c:v>34.17</c:v>
                </c:pt>
                <c:pt idx="10">
                  <c:v>48.81</c:v>
                </c:pt>
                <c:pt idx="11">
                  <c:v>49.05</c:v>
                </c:pt>
                <c:pt idx="12">
                  <c:v>44.41</c:v>
                </c:pt>
                <c:pt idx="13">
                  <c:v>47.48</c:v>
                </c:pt>
                <c:pt idx="14">
                  <c:v>59.3</c:v>
                </c:pt>
                <c:pt idx="15">
                  <c:v>63.58</c:v>
                </c:pt>
                <c:pt idx="16">
                  <c:v>32.64</c:v>
                </c:pt>
                <c:pt idx="17">
                  <c:v>25</c:v>
                </c:pt>
                <c:pt idx="18">
                  <c:v>45.45</c:v>
                </c:pt>
                <c:pt idx="19">
                  <c:v>36.32</c:v>
                </c:pt>
                <c:pt idx="20">
                  <c:v>34</c:v>
                </c:pt>
                <c:pt idx="21">
                  <c:v>67.33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80-499F-8216-5477C0F54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738378"/>
        <c:axId val="929533293"/>
      </c:barChart>
      <c:catAx>
        <c:axId val="810738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800" b="1">
                    <a:solidFill>
                      <a:srgbClr val="000000"/>
                    </a:solidFill>
                    <a:latin typeface="+mn-lt"/>
                  </a:rPr>
                  <a:t>player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9533293"/>
        <c:crosses val="autoZero"/>
        <c:auto val="1"/>
        <c:lblAlgn val="ctr"/>
        <c:lblOffset val="100"/>
        <c:noMultiLvlLbl val="1"/>
      </c:catAx>
      <c:valAx>
        <c:axId val="929533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800"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sz="1800" b="1">
                    <a:solidFill>
                      <a:srgbClr val="000000"/>
                    </a:solidFill>
                    <a:latin typeface="+mn-lt"/>
                  </a:rPr>
                  <a:t>predicted_fantacy_points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07383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238125</xdr:colOff>
      <xdr:row>187</xdr:row>
      <xdr:rowOff>95250</xdr:rowOff>
    </xdr:from>
    <xdr:ext cx="497205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1285875</xdr:colOff>
      <xdr:row>24</xdr:row>
      <xdr:rowOff>76200</xdr:rowOff>
    </xdr:from>
    <xdr:ext cx="12344400" cy="61150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G205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7.44140625" customWidth="1"/>
    <col min="2" max="2" width="20.33203125" customWidth="1"/>
    <col min="3" max="3" width="13" customWidth="1"/>
    <col min="4" max="4" width="10.21875" customWidth="1"/>
    <col min="5" max="5" width="8.88671875" customWidth="1"/>
    <col min="6" max="6" width="11.21875" customWidth="1"/>
    <col min="7" max="7" width="14" customWidth="1"/>
    <col min="8" max="8" width="6" customWidth="1"/>
    <col min="9" max="9" width="6.77734375" customWidth="1"/>
    <col min="10" max="10" width="12.21875" customWidth="1"/>
    <col min="11" max="11" width="4.77734375" customWidth="1"/>
    <col min="12" max="12" width="11" customWidth="1"/>
    <col min="13" max="13" width="11.6640625" customWidth="1"/>
    <col min="14" max="14" width="11.88671875" customWidth="1"/>
    <col min="15" max="15" width="12.6640625" customWidth="1"/>
    <col min="16" max="16" width="10.6640625" customWidth="1"/>
    <col min="17" max="17" width="11.21875" customWidth="1"/>
    <col min="18" max="18" width="3.44140625" customWidth="1"/>
    <col min="19" max="19" width="8.33203125" customWidth="1"/>
    <col min="20" max="20" width="11.77734375" customWidth="1"/>
    <col min="21" max="21" width="18.77734375" customWidth="1"/>
    <col min="22" max="22" width="8.109375" customWidth="1"/>
    <col min="23" max="23" width="12.33203125" customWidth="1"/>
    <col min="24" max="25" width="3.77734375" customWidth="1"/>
    <col min="26" max="26" width="4.33203125" customWidth="1"/>
    <col min="27" max="27" width="3.44140625" customWidth="1"/>
    <col min="28" max="28" width="12.109375" customWidth="1"/>
    <col min="29" max="29" width="7.6640625" customWidth="1"/>
    <col min="30" max="30" width="10.21875" customWidth="1"/>
    <col min="31" max="31" width="21.33203125" customWidth="1"/>
    <col min="32" max="32" width="25.6640625" customWidth="1"/>
    <col min="33" max="33" width="5.109375" customWidth="1"/>
    <col min="34" max="34" width="7.77734375" customWidth="1"/>
    <col min="35" max="35" width="13.44140625" customWidth="1"/>
    <col min="36" max="36" width="17.77734375" customWidth="1"/>
    <col min="37" max="37" width="6.109375" customWidth="1"/>
    <col min="38" max="38" width="10.21875" customWidth="1"/>
    <col min="39" max="39" width="10.44140625" customWidth="1"/>
    <col min="40" max="40" width="14.77734375" customWidth="1"/>
    <col min="41" max="41" width="19.44140625" customWidth="1"/>
    <col min="42" max="42" width="18.6640625" customWidth="1"/>
    <col min="43" max="43" width="11" customWidth="1"/>
    <col min="44" max="44" width="8.109375" customWidth="1"/>
    <col min="45" max="45" width="23.33203125" customWidth="1"/>
    <col min="46" max="46" width="27.21875" customWidth="1"/>
    <col min="47" max="47" width="14.6640625" customWidth="1"/>
    <col min="48" max="48" width="18.77734375" customWidth="1"/>
    <col min="49" max="49" width="11.33203125" customWidth="1"/>
    <col min="50" max="50" width="19.6640625" customWidth="1"/>
    <col min="51" max="51" width="11.88671875" customWidth="1"/>
    <col min="52" max="52" width="19.33203125" customWidth="1"/>
    <col min="53" max="53" width="13.44140625" customWidth="1"/>
    <col min="54" max="54" width="21.77734375" customWidth="1"/>
    <col min="55" max="55" width="12.44140625" customWidth="1"/>
    <col min="56" max="56" width="9.33203125" customWidth="1"/>
    <col min="57" max="57" width="13.6640625" customWidth="1"/>
    <col min="58" max="58" width="17.77734375" customWidth="1"/>
    <col min="59" max="59" width="11.77734375" customWidth="1"/>
    <col min="60" max="60" width="18.77734375" customWidth="1"/>
    <col min="61" max="61" width="24.88671875" customWidth="1"/>
    <col min="62" max="62" width="17" customWidth="1"/>
    <col min="63" max="63" width="21.6640625" customWidth="1"/>
    <col min="64" max="64" width="18.6640625" customWidth="1"/>
    <col min="65" max="65" width="23.6640625" customWidth="1"/>
    <col min="66" max="66" width="14.44140625" customWidth="1"/>
    <col min="67" max="67" width="17.77734375" customWidth="1"/>
    <col min="68" max="68" width="13.21875" customWidth="1"/>
    <col min="69" max="69" width="11.77734375" customWidth="1"/>
    <col min="70" max="70" width="20.88671875" customWidth="1"/>
    <col min="71" max="71" width="20.109375" customWidth="1"/>
    <col min="72" max="72" width="11.44140625" customWidth="1"/>
    <col min="73" max="73" width="3.33203125" customWidth="1"/>
    <col min="74" max="74" width="11.21875" customWidth="1"/>
    <col min="75" max="75" width="21.109375" customWidth="1"/>
    <col min="76" max="76" width="18.6640625" customWidth="1"/>
    <col min="77" max="77" width="18.44140625" customWidth="1"/>
    <col min="78" max="78" width="22.21875" customWidth="1"/>
    <col min="79" max="79" width="24.44140625" customWidth="1"/>
    <col min="80" max="80" width="17.44140625" customWidth="1"/>
    <col min="81" max="81" width="9.77734375" customWidth="1"/>
    <col min="82" max="82" width="8.33203125" customWidth="1"/>
    <col min="83" max="83" width="7.88671875" customWidth="1"/>
    <col min="84" max="84" width="21.109375" customWidth="1"/>
    <col min="85" max="85" width="4.44140625" customWidth="1"/>
  </cols>
  <sheetData>
    <row r="1" spans="1:85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5" t="s">
        <v>60</v>
      </c>
      <c r="BJ1" s="5" t="s">
        <v>61</v>
      </c>
      <c r="BK1" s="5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7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</row>
    <row r="2" spans="1:85" ht="13.2" x14ac:dyDescent="0.25">
      <c r="A2" s="8">
        <v>1070173</v>
      </c>
      <c r="B2" s="9" t="s">
        <v>85</v>
      </c>
      <c r="C2" s="9" t="s">
        <v>86</v>
      </c>
      <c r="D2" s="9">
        <v>1</v>
      </c>
      <c r="E2" s="9">
        <v>0</v>
      </c>
      <c r="F2" s="9">
        <v>0</v>
      </c>
      <c r="G2" s="9">
        <v>0</v>
      </c>
      <c r="H2" s="10">
        <v>30</v>
      </c>
      <c r="I2" s="9">
        <v>30</v>
      </c>
      <c r="J2" s="11">
        <f t="shared" ref="J2:J100" si="0">ROUND((K2 - MIN($K$2:$K$98)) / (MAX($K$2:$K$98) - MIN($K$2:$K$98)), 1)</f>
        <v>1</v>
      </c>
      <c r="K2" s="10">
        <v>1361</v>
      </c>
      <c r="L2" s="11">
        <v>1</v>
      </c>
      <c r="M2" s="11">
        <v>0</v>
      </c>
      <c r="N2" s="11" t="s">
        <v>87</v>
      </c>
      <c r="O2" s="11">
        <v>1</v>
      </c>
      <c r="P2" s="12" t="s">
        <v>88</v>
      </c>
      <c r="Q2" s="12">
        <v>0</v>
      </c>
      <c r="R2" s="9">
        <v>24</v>
      </c>
      <c r="S2" s="10">
        <v>129</v>
      </c>
      <c r="T2" s="10">
        <v>52.35</v>
      </c>
      <c r="U2" s="10">
        <f t="shared" ref="U2:U185" si="1">ROUND((T2 - MIN(T$2:T$98)) / (MAX(T$2:T$98) - MIN(T$2:T$98)), 1)</f>
        <v>0.9</v>
      </c>
      <c r="V2" s="10">
        <v>151.9</v>
      </c>
      <c r="W2" s="10">
        <f t="shared" ref="W2:W97" si="2">ROUND((V2 - MIN(V$2:V$98)) / (MAX(V$2:V$98) - MIN(V$2:V$98)), 1)</f>
        <v>0.6</v>
      </c>
      <c r="X2" s="10">
        <v>125</v>
      </c>
      <c r="Y2" s="10">
        <v>49</v>
      </c>
      <c r="Z2" s="10">
        <v>4</v>
      </c>
      <c r="AA2" s="10">
        <v>6</v>
      </c>
      <c r="AB2" s="9">
        <v>16.5</v>
      </c>
      <c r="AC2" s="9">
        <f t="shared" ref="AC2:AC160" si="3">IF(AB2&gt;AD2, 3,IF(AB2&lt;AD2, 1, 2))</f>
        <v>3</v>
      </c>
      <c r="AD2" s="9">
        <v>0</v>
      </c>
      <c r="AE2" s="9">
        <v>0.7</v>
      </c>
      <c r="AF2" s="9">
        <v>1.7500000000000002E-2</v>
      </c>
      <c r="AG2" s="9">
        <v>8.5</v>
      </c>
      <c r="AH2" s="9">
        <v>1.2999999999999999E-2</v>
      </c>
      <c r="AI2" s="13">
        <v>80</v>
      </c>
      <c r="AJ2" s="9">
        <f t="shared" ref="AJ2:AJ185" si="4">ROUND((AI2 - MIN(AI$2:AI$98)) / (MAX(AI$2:AI$98) - MIN(AI$2:AI$98)), 1)</f>
        <v>0.9</v>
      </c>
      <c r="AK2" s="9">
        <v>0</v>
      </c>
      <c r="AL2" s="9">
        <v>0</v>
      </c>
      <c r="AM2" s="9">
        <v>0</v>
      </c>
      <c r="AN2" s="9">
        <v>0</v>
      </c>
      <c r="AO2" s="9">
        <f t="shared" ref="AO2:AO30" si="5">ROUND((AP2 - MIN($AP$2:$AP2050)) / (MAX($AP$2:$AP2050) - MIN($AP$2:$AP2050)), 1)</f>
        <v>0</v>
      </c>
      <c r="AP2" s="9">
        <v>0</v>
      </c>
      <c r="AQ2" s="9">
        <f t="shared" ref="AQ2:AQ62" si="6">ROUND((AR2 - MIN($AR$2:$AR2050)) / (MAX($AR$2:$AR2050) - MIN($AR$2:$AR2050)), 1)</f>
        <v>0.3</v>
      </c>
      <c r="AR2" s="9">
        <v>3.5</v>
      </c>
      <c r="AS2" s="9">
        <v>0</v>
      </c>
      <c r="AT2" s="9">
        <v>0</v>
      </c>
      <c r="AU2" s="9">
        <v>0</v>
      </c>
      <c r="AV2" s="9">
        <v>0</v>
      </c>
      <c r="AW2" s="9">
        <v>50</v>
      </c>
      <c r="AX2" s="9">
        <v>0.5</v>
      </c>
      <c r="AY2" s="9">
        <v>0</v>
      </c>
      <c r="AZ2" s="9">
        <f t="shared" ref="AZ2:AZ5" si="7">(AP2 - MIN($AP$2:$AP$964)) / (MAX($AP$2:$AP$964) - MIN($AP$2:$AP$964))</f>
        <v>0</v>
      </c>
      <c r="BA2" s="9">
        <v>0</v>
      </c>
      <c r="BB2" s="9">
        <v>0</v>
      </c>
      <c r="BC2" s="9">
        <v>0</v>
      </c>
      <c r="BD2" s="9">
        <v>0</v>
      </c>
      <c r="BE2" s="9">
        <v>9</v>
      </c>
      <c r="BF2" s="9">
        <f t="shared" ref="BF2:BF185" si="8">ROUND((BE2 - MIN(BE$2:BE$174)) / (MAX(BE$2:BE$174) - MIN(BE$2:BE$174)), 1)</f>
        <v>0.8</v>
      </c>
      <c r="BG2" s="9">
        <f t="shared" ref="BG2:BG40" si="9">IF(AND(K2&gt;=800,V2&gt;=145),3,IF(K2&gt;=400,1,2))</f>
        <v>3</v>
      </c>
      <c r="BH2" s="9">
        <v>9</v>
      </c>
      <c r="BI2" s="9">
        <f t="shared" ref="BI2:BI185" si="10">ROUND((BH2 - MIN(BH$2:BH$174)) / (MAX(BH$2:BH$174) - MIN(BH$2:BH$174)), 1)</f>
        <v>1</v>
      </c>
      <c r="BJ2" s="9">
        <v>8</v>
      </c>
      <c r="BK2" s="9">
        <v>0.86</v>
      </c>
      <c r="BL2" s="14">
        <v>8</v>
      </c>
      <c r="BM2" s="14">
        <v>0.67</v>
      </c>
      <c r="BN2" s="8">
        <v>0</v>
      </c>
      <c r="BO2" s="14">
        <v>0</v>
      </c>
      <c r="BP2" s="14">
        <f t="shared" ref="BP2:BP82" si="11">ROUND((0.35 * L2) + (0.25 * W2) + (0.15 * U2) + (0.15 * BF2) + (0.1 * AJ2), 1)</f>
        <v>0.8</v>
      </c>
      <c r="BQ2" s="14">
        <v>0</v>
      </c>
      <c r="BR2" s="15">
        <v>0.78</v>
      </c>
      <c r="BS2" s="15">
        <f t="shared" ref="BS2:BS34" si="12">(0.45*L2 + 0.35*M2 + 0.12*AJ2 + 0.08*BF2) * (1 - BR2)</f>
        <v>0.13684000000000002</v>
      </c>
      <c r="BT2" s="14">
        <v>0</v>
      </c>
      <c r="BU2" s="14">
        <v>0</v>
      </c>
      <c r="BV2" s="15">
        <v>67.2</v>
      </c>
      <c r="BW2" s="15">
        <v>7.8E-2</v>
      </c>
      <c r="BX2" s="15">
        <f t="shared" ref="BX2:BX185" si="13">D2 * (
   BP2*0.4 +
   L2*0.25 +
   W2*0.15 +
   AX2*0.1 +
   BF2*0.1
 ) * 100</f>
        <v>79</v>
      </c>
      <c r="BY2" s="14">
        <f t="shared" ref="BY2:BY185" si="14">E:E*(BQ:BQ*0.35+AT:AT*0.3+AV:AV*0.15+AN:AN*0.1+AO:AO*0.1)*100</f>
        <v>0</v>
      </c>
      <c r="BZ2" s="14">
        <f t="shared" ref="BZ2:BZ185" si="15">ROUND(IF(N(F2)=1,
   MAX(0,
     (
       (N(BN2)/18)*0.6 +
       (N(BF2)/10)*0.25 +
       N(AX2)*0.15
     ) * 100
   ),
   0
),3)</f>
        <v>0</v>
      </c>
      <c r="CA2" s="14">
        <f t="shared" ref="CA2:CA185" si="16">ROUND(G:G*(BO:BO*0.45+AZ:AZ*0.3+BB:BB*0.15+BF:BF*0.1)*100,3)</f>
        <v>0</v>
      </c>
      <c r="CB2" s="14">
        <f t="shared" ref="CB2:CB185" si="17">BX:BX+BY:BY+BZ:BZ + CA:CA</f>
        <v>79</v>
      </c>
      <c r="CC2" s="15">
        <f t="shared" ref="CC2:CC185" si="18">ROUND(0.7 + (BR:BR* 0.2) + (BS:BS * 0.1),3)</f>
        <v>0.87</v>
      </c>
      <c r="CD2" s="14">
        <f t="shared" ref="CD2:CD185" si="19">ROUND(CB:CB* CC:CC, 2)</f>
        <v>68.73</v>
      </c>
      <c r="CE2" s="14">
        <f t="shared" ref="CE2:CE185" si="20">ROUND(
  1 -
  (
    (D:D * 0.25) +
    (E:E* 0.2) +
    (F:F* 0.15) +
    (G:G* 0.1)
  ) * AQ:AQ,
  3
)</f>
        <v>0.92500000000000004</v>
      </c>
      <c r="CF2" s="14">
        <f t="shared" ref="CF2:CF185" si="21">ROUND( CD:CD* CE:CE, 2 )</f>
        <v>63.58</v>
      </c>
      <c r="CG2" s="14">
        <f t="shared" ref="CG2:CG185" si="22">RANK(CF2,CF:CF)</f>
        <v>18</v>
      </c>
    </row>
    <row r="3" spans="1:85" ht="13.2" x14ac:dyDescent="0.25">
      <c r="A3" s="8">
        <v>446507</v>
      </c>
      <c r="B3" s="14" t="s">
        <v>89</v>
      </c>
      <c r="C3" s="9" t="s">
        <v>86</v>
      </c>
      <c r="D3" s="9">
        <v>1</v>
      </c>
      <c r="E3" s="9">
        <v>0</v>
      </c>
      <c r="F3" s="9">
        <v>0</v>
      </c>
      <c r="G3" s="9">
        <v>0</v>
      </c>
      <c r="H3" s="10">
        <v>27</v>
      </c>
      <c r="I3" s="9">
        <v>27</v>
      </c>
      <c r="J3" s="11">
        <f t="shared" si="0"/>
        <v>0.7</v>
      </c>
      <c r="K3" s="10">
        <v>950</v>
      </c>
      <c r="L3" s="11">
        <v>0.6</v>
      </c>
      <c r="M3" s="11">
        <v>0</v>
      </c>
      <c r="N3" s="11" t="s">
        <v>90</v>
      </c>
      <c r="O3" s="11">
        <v>2</v>
      </c>
      <c r="P3" s="12" t="s">
        <v>88</v>
      </c>
      <c r="Q3" s="12">
        <v>0</v>
      </c>
      <c r="R3" s="9">
        <v>33</v>
      </c>
      <c r="S3" s="10">
        <v>103</v>
      </c>
      <c r="T3" s="10">
        <v>39.58</v>
      </c>
      <c r="U3" s="10">
        <f t="shared" si="1"/>
        <v>0.7</v>
      </c>
      <c r="V3" s="10">
        <v>175.93</v>
      </c>
      <c r="W3" s="10">
        <f t="shared" si="2"/>
        <v>0.7</v>
      </c>
      <c r="X3" s="10">
        <v>101</v>
      </c>
      <c r="Y3" s="10">
        <v>46</v>
      </c>
      <c r="Z3" s="10">
        <v>2</v>
      </c>
      <c r="AA3" s="10">
        <v>8</v>
      </c>
      <c r="AB3" s="9" t="str">
        <f>SUBSTITUTE(AB2, "Cr", "")</f>
        <v>16.5</v>
      </c>
      <c r="AC3" s="9">
        <f t="shared" si="3"/>
        <v>3</v>
      </c>
      <c r="AD3" s="9">
        <v>0</v>
      </c>
      <c r="AE3" s="9">
        <v>0.7</v>
      </c>
      <c r="AF3" s="9">
        <v>1.7500000000000002E-2</v>
      </c>
      <c r="AG3" s="9">
        <v>9</v>
      </c>
      <c r="AH3" s="9">
        <v>0.222</v>
      </c>
      <c r="AI3" s="13">
        <v>70</v>
      </c>
      <c r="AJ3" s="9">
        <f t="shared" si="4"/>
        <v>0.8</v>
      </c>
      <c r="AK3" s="9">
        <v>0</v>
      </c>
      <c r="AL3" s="9">
        <v>0</v>
      </c>
      <c r="AM3" s="9">
        <v>0</v>
      </c>
      <c r="AN3" s="9">
        <v>0</v>
      </c>
      <c r="AO3" s="9">
        <f t="shared" si="5"/>
        <v>0</v>
      </c>
      <c r="AP3" s="9">
        <v>0</v>
      </c>
      <c r="AQ3" s="9">
        <f t="shared" si="6"/>
        <v>0.5</v>
      </c>
      <c r="AR3" s="9">
        <v>5</v>
      </c>
      <c r="AS3" s="9">
        <v>0</v>
      </c>
      <c r="AT3" s="9">
        <v>0</v>
      </c>
      <c r="AU3" s="9">
        <v>0</v>
      </c>
      <c r="AV3" s="9">
        <v>0</v>
      </c>
      <c r="AW3" s="9">
        <v>65</v>
      </c>
      <c r="AX3" s="9">
        <v>0.7</v>
      </c>
      <c r="AY3" s="9">
        <v>0</v>
      </c>
      <c r="AZ3" s="9">
        <f t="shared" si="7"/>
        <v>0</v>
      </c>
      <c r="BA3" s="9">
        <v>0</v>
      </c>
      <c r="BB3" s="9">
        <v>0</v>
      </c>
      <c r="BC3" s="9">
        <v>0</v>
      </c>
      <c r="BD3" s="9">
        <v>0</v>
      </c>
      <c r="BE3" s="9">
        <v>9.5</v>
      </c>
      <c r="BF3" s="9">
        <f t="shared" si="8"/>
        <v>0.9</v>
      </c>
      <c r="BG3" s="9">
        <f t="shared" si="9"/>
        <v>3</v>
      </c>
      <c r="BH3" s="9">
        <v>8</v>
      </c>
      <c r="BI3" s="9">
        <f t="shared" si="10"/>
        <v>0.7</v>
      </c>
      <c r="BJ3" s="9">
        <v>9</v>
      </c>
      <c r="BK3" s="9">
        <v>1</v>
      </c>
      <c r="BL3" s="15">
        <v>8</v>
      </c>
      <c r="BM3" s="15">
        <v>0.67</v>
      </c>
      <c r="BN3" s="8">
        <v>0</v>
      </c>
      <c r="BO3" s="14">
        <v>0</v>
      </c>
      <c r="BP3" s="14">
        <f t="shared" si="11"/>
        <v>0.7</v>
      </c>
      <c r="BQ3" s="14">
        <v>0</v>
      </c>
      <c r="BR3" s="15">
        <v>0.82</v>
      </c>
      <c r="BS3" s="15">
        <f t="shared" si="12"/>
        <v>7.8840000000000021E-2</v>
      </c>
      <c r="BT3" s="14">
        <v>0</v>
      </c>
      <c r="BU3" s="14">
        <v>0</v>
      </c>
      <c r="BV3" s="15">
        <v>73.7</v>
      </c>
      <c r="BW3" s="15">
        <v>8.5000000000000006E-2</v>
      </c>
      <c r="BX3" s="15">
        <f t="shared" si="13"/>
        <v>69.499999999999986</v>
      </c>
      <c r="BY3" s="14">
        <f t="shared" si="14"/>
        <v>0</v>
      </c>
      <c r="BZ3" s="14">
        <f t="shared" si="15"/>
        <v>0</v>
      </c>
      <c r="CA3" s="14">
        <f t="shared" si="16"/>
        <v>0</v>
      </c>
      <c r="CB3" s="14">
        <f t="shared" si="17"/>
        <v>69.499999999999986</v>
      </c>
      <c r="CC3" s="15">
        <f t="shared" si="18"/>
        <v>0.872</v>
      </c>
      <c r="CD3" s="14">
        <f t="shared" si="19"/>
        <v>60.6</v>
      </c>
      <c r="CE3" s="14">
        <f t="shared" si="20"/>
        <v>0.875</v>
      </c>
      <c r="CF3" s="14">
        <f t="shared" si="21"/>
        <v>53.03</v>
      </c>
      <c r="CG3" s="14">
        <f t="shared" si="22"/>
        <v>23</v>
      </c>
    </row>
    <row r="4" spans="1:85" ht="13.2" x14ac:dyDescent="0.25">
      <c r="A4" s="8">
        <v>253802</v>
      </c>
      <c r="B4" s="9" t="s">
        <v>91</v>
      </c>
      <c r="C4" s="9" t="s">
        <v>86</v>
      </c>
      <c r="D4" s="9">
        <v>1</v>
      </c>
      <c r="E4" s="9">
        <v>0</v>
      </c>
      <c r="F4" s="9">
        <v>0</v>
      </c>
      <c r="G4" s="9">
        <v>0</v>
      </c>
      <c r="H4" s="10">
        <v>30</v>
      </c>
      <c r="I4" s="9">
        <v>30</v>
      </c>
      <c r="J4" s="11">
        <f t="shared" si="0"/>
        <v>1</v>
      </c>
      <c r="K4" s="10">
        <v>1387</v>
      </c>
      <c r="L4" s="11">
        <v>1</v>
      </c>
      <c r="M4" s="11">
        <v>0</v>
      </c>
      <c r="N4" s="11" t="s">
        <v>90</v>
      </c>
      <c r="O4" s="11">
        <v>1</v>
      </c>
      <c r="P4" s="12" t="s">
        <v>88</v>
      </c>
      <c r="Q4" s="12">
        <v>0</v>
      </c>
      <c r="R4" s="9">
        <v>35</v>
      </c>
      <c r="S4" s="10">
        <v>113</v>
      </c>
      <c r="T4" s="10">
        <v>55.48</v>
      </c>
      <c r="U4" s="10">
        <f t="shared" si="1"/>
        <v>1</v>
      </c>
      <c r="V4" s="10">
        <v>146.93</v>
      </c>
      <c r="W4" s="10">
        <f t="shared" si="2"/>
        <v>0.6</v>
      </c>
      <c r="X4" s="10">
        <v>127</v>
      </c>
      <c r="Y4" s="10">
        <v>55</v>
      </c>
      <c r="Z4" s="10">
        <v>3</v>
      </c>
      <c r="AA4" s="10">
        <v>11</v>
      </c>
      <c r="AB4" s="9">
        <v>11</v>
      </c>
      <c r="AC4" s="9">
        <f t="shared" si="3"/>
        <v>3</v>
      </c>
      <c r="AD4" s="9">
        <v>0</v>
      </c>
      <c r="AE4" s="9">
        <v>0.7</v>
      </c>
      <c r="AF4" s="9">
        <v>1.7500000000000002E-2</v>
      </c>
      <c r="AG4" s="9">
        <v>9.5</v>
      </c>
      <c r="AH4" s="9">
        <v>0.05</v>
      </c>
      <c r="AI4" s="13">
        <v>85</v>
      </c>
      <c r="AJ4" s="9">
        <f t="shared" si="4"/>
        <v>1</v>
      </c>
      <c r="AK4" s="9">
        <v>0</v>
      </c>
      <c r="AL4" s="9">
        <v>0</v>
      </c>
      <c r="AM4" s="9">
        <v>0</v>
      </c>
      <c r="AN4" s="9">
        <v>0</v>
      </c>
      <c r="AO4" s="9">
        <f t="shared" si="5"/>
        <v>0</v>
      </c>
      <c r="AP4" s="9">
        <v>0</v>
      </c>
      <c r="AQ4" s="9">
        <f t="shared" si="6"/>
        <v>0.8</v>
      </c>
      <c r="AR4" s="9">
        <v>7</v>
      </c>
      <c r="AS4" s="9">
        <v>0</v>
      </c>
      <c r="AT4" s="9">
        <v>0</v>
      </c>
      <c r="AU4" s="9">
        <v>0</v>
      </c>
      <c r="AV4" s="9">
        <v>0</v>
      </c>
      <c r="AW4" s="9">
        <v>54</v>
      </c>
      <c r="AX4" s="9">
        <v>0.5</v>
      </c>
      <c r="AY4" s="9">
        <v>0</v>
      </c>
      <c r="AZ4" s="9">
        <f t="shared" si="7"/>
        <v>0</v>
      </c>
      <c r="BA4" s="9">
        <v>0</v>
      </c>
      <c r="BB4" s="9">
        <v>0</v>
      </c>
      <c r="BC4" s="9">
        <v>0</v>
      </c>
      <c r="BD4" s="9">
        <v>0</v>
      </c>
      <c r="BE4" s="9">
        <v>10</v>
      </c>
      <c r="BF4" s="9">
        <f t="shared" si="8"/>
        <v>1</v>
      </c>
      <c r="BG4" s="9">
        <f t="shared" si="9"/>
        <v>3</v>
      </c>
      <c r="BH4" s="9">
        <v>7</v>
      </c>
      <c r="BI4" s="9">
        <f t="shared" si="10"/>
        <v>0.3</v>
      </c>
      <c r="BJ4" s="9">
        <v>9</v>
      </c>
      <c r="BK4" s="9">
        <v>1</v>
      </c>
      <c r="BL4" s="15">
        <v>9</v>
      </c>
      <c r="BM4" s="14">
        <v>1</v>
      </c>
      <c r="BN4" s="8">
        <v>0</v>
      </c>
      <c r="BO4" s="14">
        <v>0</v>
      </c>
      <c r="BP4" s="14">
        <f t="shared" si="11"/>
        <v>0.9</v>
      </c>
      <c r="BQ4" s="14">
        <v>0</v>
      </c>
      <c r="BR4" s="15">
        <v>0.79</v>
      </c>
      <c r="BS4" s="15">
        <f t="shared" si="12"/>
        <v>0.13649999999999998</v>
      </c>
      <c r="BT4" s="14">
        <v>0</v>
      </c>
      <c r="BU4" s="14">
        <v>0</v>
      </c>
      <c r="BV4" s="15">
        <v>62.5</v>
      </c>
      <c r="BW4" s="15">
        <v>7.2999999999999995E-2</v>
      </c>
      <c r="BX4" s="15">
        <f t="shared" si="13"/>
        <v>85.000000000000014</v>
      </c>
      <c r="BY4" s="14">
        <f t="shared" si="14"/>
        <v>0</v>
      </c>
      <c r="BZ4" s="14">
        <f t="shared" si="15"/>
        <v>0</v>
      </c>
      <c r="CA4" s="14">
        <f t="shared" si="16"/>
        <v>0</v>
      </c>
      <c r="CB4" s="14">
        <f t="shared" si="17"/>
        <v>85.000000000000014</v>
      </c>
      <c r="CC4" s="15">
        <f t="shared" si="18"/>
        <v>0.872</v>
      </c>
      <c r="CD4" s="14">
        <f t="shared" si="19"/>
        <v>74.12</v>
      </c>
      <c r="CE4" s="14">
        <f t="shared" si="20"/>
        <v>0.8</v>
      </c>
      <c r="CF4" s="14">
        <f t="shared" si="21"/>
        <v>59.3</v>
      </c>
      <c r="CG4" s="14">
        <f t="shared" si="22"/>
        <v>20</v>
      </c>
    </row>
    <row r="5" spans="1:85" ht="13.2" x14ac:dyDescent="0.25">
      <c r="A5" s="8">
        <v>823703</v>
      </c>
      <c r="B5" s="9" t="s">
        <v>92</v>
      </c>
      <c r="C5" s="9" t="s">
        <v>86</v>
      </c>
      <c r="D5" s="9">
        <v>1</v>
      </c>
      <c r="E5" s="9">
        <v>0</v>
      </c>
      <c r="F5" s="9">
        <v>0</v>
      </c>
      <c r="G5" s="9">
        <v>0</v>
      </c>
      <c r="H5" s="10">
        <v>14</v>
      </c>
      <c r="I5" s="9">
        <v>14</v>
      </c>
      <c r="J5" s="11">
        <f t="shared" si="0"/>
        <v>0.3</v>
      </c>
      <c r="K5" s="10">
        <v>453</v>
      </c>
      <c r="L5" s="11">
        <v>0.4</v>
      </c>
      <c r="M5" s="11">
        <v>0</v>
      </c>
      <c r="N5" s="11" t="s">
        <v>90</v>
      </c>
      <c r="O5" s="11">
        <v>2</v>
      </c>
      <c r="P5" s="12" t="s">
        <v>88</v>
      </c>
      <c r="Q5" s="12">
        <v>0</v>
      </c>
      <c r="R5" s="9">
        <v>30</v>
      </c>
      <c r="S5" s="10">
        <v>58</v>
      </c>
      <c r="T5" s="10">
        <v>32.36</v>
      </c>
      <c r="U5" s="10">
        <f t="shared" si="1"/>
        <v>0.6</v>
      </c>
      <c r="V5" s="10">
        <v>170.94</v>
      </c>
      <c r="W5" s="10">
        <f t="shared" si="2"/>
        <v>0.7</v>
      </c>
      <c r="X5" s="10">
        <v>25</v>
      </c>
      <c r="Y5" s="10">
        <v>36</v>
      </c>
      <c r="Z5" s="10">
        <v>0</v>
      </c>
      <c r="AA5" s="10">
        <v>6</v>
      </c>
      <c r="AB5" s="9">
        <v>11</v>
      </c>
      <c r="AC5" s="9">
        <f t="shared" si="3"/>
        <v>3</v>
      </c>
      <c r="AD5" s="9">
        <v>2</v>
      </c>
      <c r="AE5" s="9">
        <v>0.6</v>
      </c>
      <c r="AF5" s="9">
        <v>1.4999999999999999E-2</v>
      </c>
      <c r="AG5" s="9">
        <v>7</v>
      </c>
      <c r="AH5" s="9">
        <v>0.26</v>
      </c>
      <c r="AI5" s="13">
        <v>45</v>
      </c>
      <c r="AJ5" s="9">
        <f t="shared" si="4"/>
        <v>0.5</v>
      </c>
      <c r="AK5" s="9">
        <v>0</v>
      </c>
      <c r="AL5" s="9">
        <v>0</v>
      </c>
      <c r="AM5" s="9">
        <v>0</v>
      </c>
      <c r="AN5" s="9">
        <v>0</v>
      </c>
      <c r="AO5" s="9">
        <f t="shared" si="5"/>
        <v>0</v>
      </c>
      <c r="AP5" s="9">
        <v>0</v>
      </c>
      <c r="AQ5" s="9">
        <f t="shared" si="6"/>
        <v>0.1</v>
      </c>
      <c r="AR5" s="9">
        <v>2.5</v>
      </c>
      <c r="AS5" s="9">
        <v>0</v>
      </c>
      <c r="AT5" s="9">
        <v>0</v>
      </c>
      <c r="AU5" s="9">
        <v>0</v>
      </c>
      <c r="AV5" s="9">
        <v>0</v>
      </c>
      <c r="AW5" s="9">
        <v>40</v>
      </c>
      <c r="AX5" s="9">
        <v>0.4</v>
      </c>
      <c r="AY5" s="9">
        <v>0</v>
      </c>
      <c r="AZ5" s="9">
        <f t="shared" si="7"/>
        <v>0</v>
      </c>
      <c r="BA5" s="9">
        <v>0</v>
      </c>
      <c r="BB5" s="9">
        <v>0</v>
      </c>
      <c r="BC5" s="9">
        <v>0</v>
      </c>
      <c r="BD5" s="9">
        <v>0</v>
      </c>
      <c r="BE5" s="9">
        <v>7</v>
      </c>
      <c r="BF5" s="9">
        <f t="shared" si="8"/>
        <v>0.3</v>
      </c>
      <c r="BG5" s="9">
        <f t="shared" si="9"/>
        <v>1</v>
      </c>
      <c r="BH5" s="9">
        <v>7</v>
      </c>
      <c r="BI5" s="9">
        <f t="shared" si="10"/>
        <v>0.3</v>
      </c>
      <c r="BJ5" s="9">
        <v>7</v>
      </c>
      <c r="BK5" s="9">
        <v>0.71</v>
      </c>
      <c r="BL5" s="15">
        <v>9</v>
      </c>
      <c r="BM5" s="14">
        <v>1</v>
      </c>
      <c r="BN5" s="8">
        <v>0</v>
      </c>
      <c r="BO5" s="14">
        <v>0</v>
      </c>
      <c r="BP5" s="14">
        <f t="shared" si="11"/>
        <v>0.5</v>
      </c>
      <c r="BQ5" s="14">
        <v>0</v>
      </c>
      <c r="BR5" s="15">
        <v>0</v>
      </c>
      <c r="BS5" s="15">
        <f t="shared" si="12"/>
        <v>0.26400000000000001</v>
      </c>
      <c r="BT5" s="14">
        <v>0</v>
      </c>
      <c r="BU5" s="14">
        <v>0</v>
      </c>
      <c r="BV5" s="15">
        <v>41.95</v>
      </c>
      <c r="BW5" s="15">
        <v>5.0999999999999997E-2</v>
      </c>
      <c r="BX5" s="15">
        <f t="shared" si="13"/>
        <v>47.500000000000007</v>
      </c>
      <c r="BY5" s="14">
        <f t="shared" si="14"/>
        <v>0</v>
      </c>
      <c r="BZ5" s="14">
        <f t="shared" si="15"/>
        <v>0</v>
      </c>
      <c r="CA5" s="14">
        <f t="shared" si="16"/>
        <v>0</v>
      </c>
      <c r="CB5" s="14">
        <f t="shared" si="17"/>
        <v>47.500000000000007</v>
      </c>
      <c r="CC5" s="15">
        <f t="shared" si="18"/>
        <v>0.72599999999999998</v>
      </c>
      <c r="CD5" s="14">
        <f t="shared" si="19"/>
        <v>34.49</v>
      </c>
      <c r="CE5" s="14">
        <f t="shared" si="20"/>
        <v>0.97499999999999998</v>
      </c>
      <c r="CF5" s="14">
        <f t="shared" si="21"/>
        <v>33.630000000000003</v>
      </c>
      <c r="CG5" s="14">
        <f t="shared" si="22"/>
        <v>67</v>
      </c>
    </row>
    <row r="6" spans="1:85" ht="13.2" x14ac:dyDescent="0.25">
      <c r="A6" s="8">
        <v>669365</v>
      </c>
      <c r="B6" s="9" t="s">
        <v>93</v>
      </c>
      <c r="C6" s="9" t="s">
        <v>86</v>
      </c>
      <c r="D6" s="9">
        <v>1</v>
      </c>
      <c r="E6" s="9">
        <v>0</v>
      </c>
      <c r="F6" s="9">
        <v>0</v>
      </c>
      <c r="G6" s="9">
        <v>1</v>
      </c>
      <c r="H6" s="10">
        <v>21</v>
      </c>
      <c r="I6" s="9">
        <v>21</v>
      </c>
      <c r="J6" s="11">
        <f t="shared" si="0"/>
        <v>0.5</v>
      </c>
      <c r="K6" s="10">
        <v>653</v>
      </c>
      <c r="L6" s="11">
        <v>0.5</v>
      </c>
      <c r="M6" s="11">
        <v>0</v>
      </c>
      <c r="N6" s="11" t="s">
        <v>87</v>
      </c>
      <c r="O6" s="11">
        <v>1</v>
      </c>
      <c r="P6" s="12" t="s">
        <v>94</v>
      </c>
      <c r="Q6" s="12">
        <v>1</v>
      </c>
      <c r="R6" s="9">
        <v>27</v>
      </c>
      <c r="S6" s="10">
        <v>89</v>
      </c>
      <c r="T6" s="10">
        <v>34.369999999999997</v>
      </c>
      <c r="U6" s="10">
        <f t="shared" si="1"/>
        <v>0.6</v>
      </c>
      <c r="V6" s="10">
        <v>182</v>
      </c>
      <c r="W6" s="10">
        <f t="shared" si="2"/>
        <v>0.8</v>
      </c>
      <c r="X6" s="10">
        <v>74</v>
      </c>
      <c r="Y6" s="10">
        <v>34</v>
      </c>
      <c r="Z6" s="10">
        <v>0</v>
      </c>
      <c r="AA6" s="10">
        <v>6</v>
      </c>
      <c r="AB6" s="9">
        <v>11</v>
      </c>
      <c r="AC6" s="9">
        <f t="shared" si="3"/>
        <v>3</v>
      </c>
      <c r="AD6" s="9">
        <v>2</v>
      </c>
      <c r="AE6" s="9">
        <v>0.6</v>
      </c>
      <c r="AF6" s="9">
        <v>1.4999999999999999E-2</v>
      </c>
      <c r="AG6" s="9">
        <v>8</v>
      </c>
      <c r="AH6" s="9">
        <v>0.24299999999999999</v>
      </c>
      <c r="AI6" s="13">
        <v>60</v>
      </c>
      <c r="AJ6" s="9">
        <f t="shared" si="4"/>
        <v>0.7</v>
      </c>
      <c r="AK6" s="9">
        <v>0</v>
      </c>
      <c r="AL6" s="9">
        <v>0</v>
      </c>
      <c r="AM6" s="9">
        <v>0</v>
      </c>
      <c r="AN6" s="9">
        <v>0</v>
      </c>
      <c r="AO6" s="9">
        <f t="shared" si="5"/>
        <v>0</v>
      </c>
      <c r="AP6" s="9">
        <v>0</v>
      </c>
      <c r="AQ6" s="9">
        <f t="shared" si="6"/>
        <v>0.2</v>
      </c>
      <c r="AR6" s="9">
        <v>3</v>
      </c>
      <c r="AS6" s="9">
        <v>0</v>
      </c>
      <c r="AT6" s="9">
        <v>0</v>
      </c>
      <c r="AU6" s="9">
        <v>0</v>
      </c>
      <c r="AV6" s="9">
        <v>0</v>
      </c>
      <c r="AW6" s="9">
        <v>39</v>
      </c>
      <c r="AX6" s="9">
        <v>0.4</v>
      </c>
      <c r="AY6" s="9">
        <v>12</v>
      </c>
      <c r="AZ6" s="9">
        <v>0.75</v>
      </c>
      <c r="BA6" s="9">
        <v>0</v>
      </c>
      <c r="BB6" s="9">
        <v>0</v>
      </c>
      <c r="BC6" s="9">
        <v>0</v>
      </c>
      <c r="BD6" s="9">
        <v>0</v>
      </c>
      <c r="BE6" s="9">
        <v>8</v>
      </c>
      <c r="BF6" s="9">
        <f t="shared" si="8"/>
        <v>0.5</v>
      </c>
      <c r="BG6" s="9">
        <f t="shared" si="9"/>
        <v>1</v>
      </c>
      <c r="BH6" s="9">
        <v>7</v>
      </c>
      <c r="BI6" s="9">
        <f t="shared" si="10"/>
        <v>0.3</v>
      </c>
      <c r="BJ6" s="9">
        <v>7</v>
      </c>
      <c r="BK6" s="9">
        <v>0.71</v>
      </c>
      <c r="BL6" s="15">
        <v>7</v>
      </c>
      <c r="BM6" s="14">
        <v>0.33</v>
      </c>
      <c r="BN6" s="8">
        <v>0</v>
      </c>
      <c r="BO6" s="14">
        <v>0.3</v>
      </c>
      <c r="BP6" s="14">
        <f t="shared" si="11"/>
        <v>0.6</v>
      </c>
      <c r="BQ6" s="14">
        <v>0</v>
      </c>
      <c r="BR6" s="15">
        <v>0</v>
      </c>
      <c r="BS6" s="15">
        <f t="shared" si="12"/>
        <v>0.34899999999999998</v>
      </c>
      <c r="BT6" s="14">
        <v>0</v>
      </c>
      <c r="BU6" s="14">
        <v>0</v>
      </c>
      <c r="BV6" s="15">
        <v>53.55</v>
      </c>
      <c r="BW6" s="15">
        <v>6.3E-2</v>
      </c>
      <c r="BX6" s="15">
        <f t="shared" si="13"/>
        <v>57.500000000000007</v>
      </c>
      <c r="BY6" s="14">
        <f t="shared" si="14"/>
        <v>0</v>
      </c>
      <c r="BZ6" s="14">
        <f t="shared" si="15"/>
        <v>0</v>
      </c>
      <c r="CA6" s="14">
        <f t="shared" si="16"/>
        <v>41</v>
      </c>
      <c r="CB6" s="14">
        <f t="shared" si="17"/>
        <v>98.5</v>
      </c>
      <c r="CC6" s="15">
        <f t="shared" si="18"/>
        <v>0.73499999999999999</v>
      </c>
      <c r="CD6" s="14">
        <f t="shared" si="19"/>
        <v>72.400000000000006</v>
      </c>
      <c r="CE6" s="14">
        <f t="shared" si="20"/>
        <v>0.93</v>
      </c>
      <c r="CF6" s="14">
        <f t="shared" si="21"/>
        <v>67.33</v>
      </c>
      <c r="CG6" s="14">
        <f t="shared" si="22"/>
        <v>16</v>
      </c>
    </row>
    <row r="7" spans="1:85" ht="13.2" x14ac:dyDescent="0.25">
      <c r="A7" s="8">
        <v>604553</v>
      </c>
      <c r="B7" s="9" t="s">
        <v>95</v>
      </c>
      <c r="C7" s="9" t="s">
        <v>86</v>
      </c>
      <c r="D7" s="9">
        <v>1</v>
      </c>
      <c r="E7" s="9">
        <v>0</v>
      </c>
      <c r="F7" s="9">
        <v>0</v>
      </c>
      <c r="G7" s="9">
        <v>0</v>
      </c>
      <c r="H7" s="10">
        <v>29</v>
      </c>
      <c r="I7" s="9">
        <v>20</v>
      </c>
      <c r="J7" s="11">
        <f t="shared" si="0"/>
        <v>0.6</v>
      </c>
      <c r="K7" s="10">
        <v>857</v>
      </c>
      <c r="L7" s="11">
        <v>0.4</v>
      </c>
      <c r="M7" s="11">
        <v>0</v>
      </c>
      <c r="N7" s="11" t="s">
        <v>96</v>
      </c>
      <c r="O7" s="11">
        <v>3</v>
      </c>
      <c r="P7" s="12" t="s">
        <v>97</v>
      </c>
      <c r="Q7" s="12">
        <v>1</v>
      </c>
      <c r="R7" s="9">
        <v>28</v>
      </c>
      <c r="S7" s="10">
        <v>75</v>
      </c>
      <c r="T7" s="10">
        <v>42.85</v>
      </c>
      <c r="U7" s="10">
        <f t="shared" si="1"/>
        <v>0.8</v>
      </c>
      <c r="V7" s="10">
        <v>175.98</v>
      </c>
      <c r="W7" s="10">
        <f t="shared" si="2"/>
        <v>0.7</v>
      </c>
      <c r="X7" s="10">
        <v>61</v>
      </c>
      <c r="Y7" s="10">
        <v>62</v>
      </c>
      <c r="Z7" s="10">
        <v>0</v>
      </c>
      <c r="AA7" s="10">
        <v>5</v>
      </c>
      <c r="AB7" s="9">
        <v>8.75</v>
      </c>
      <c r="AC7" s="9">
        <f t="shared" si="3"/>
        <v>3</v>
      </c>
      <c r="AD7" s="9">
        <v>2</v>
      </c>
      <c r="AE7" s="9">
        <v>0.6</v>
      </c>
      <c r="AF7" s="9">
        <v>1.4999999999999999E-2</v>
      </c>
      <c r="AG7" s="9">
        <v>8</v>
      </c>
      <c r="AH7" s="9">
        <v>0.5</v>
      </c>
      <c r="AI7" s="13">
        <v>65</v>
      </c>
      <c r="AJ7" s="9">
        <f t="shared" si="4"/>
        <v>0.8</v>
      </c>
      <c r="AK7" s="9">
        <v>0</v>
      </c>
      <c r="AL7" s="9">
        <v>0</v>
      </c>
      <c r="AM7" s="9">
        <v>0</v>
      </c>
      <c r="AN7" s="9">
        <v>0</v>
      </c>
      <c r="AO7" s="9">
        <f t="shared" si="5"/>
        <v>0</v>
      </c>
      <c r="AP7" s="9">
        <v>0</v>
      </c>
      <c r="AQ7" s="9">
        <f t="shared" si="6"/>
        <v>0.3</v>
      </c>
      <c r="AR7" s="9">
        <v>3.5</v>
      </c>
      <c r="AS7" s="9">
        <v>0</v>
      </c>
      <c r="AT7" s="9">
        <v>0</v>
      </c>
      <c r="AU7" s="9">
        <v>0</v>
      </c>
      <c r="AV7" s="9">
        <v>0</v>
      </c>
      <c r="AW7" s="9">
        <v>62</v>
      </c>
      <c r="AX7" s="9">
        <v>0.6</v>
      </c>
      <c r="AY7" s="9">
        <v>0</v>
      </c>
      <c r="AZ7" s="9">
        <f t="shared" ref="AZ7:AZ11" si="23">(AP7 - MIN($AP$2:$AP$964)) / (MAX($AP$2:$AP$964) - MIN($AP$2:$AP$964))</f>
        <v>0</v>
      </c>
      <c r="BA7" s="9">
        <v>0</v>
      </c>
      <c r="BB7" s="9">
        <v>0</v>
      </c>
      <c r="BC7" s="9">
        <v>0</v>
      </c>
      <c r="BD7" s="9">
        <v>0</v>
      </c>
      <c r="BE7" s="9">
        <v>8</v>
      </c>
      <c r="BF7" s="9">
        <f t="shared" si="8"/>
        <v>0.5</v>
      </c>
      <c r="BG7" s="9">
        <f t="shared" si="9"/>
        <v>3</v>
      </c>
      <c r="BH7" s="9">
        <v>8</v>
      </c>
      <c r="BI7" s="9">
        <f t="shared" si="10"/>
        <v>0.7</v>
      </c>
      <c r="BJ7" s="9">
        <v>8</v>
      </c>
      <c r="BK7" s="9">
        <v>0.86</v>
      </c>
      <c r="BL7" s="15">
        <v>8</v>
      </c>
      <c r="BM7" s="14">
        <v>0.67</v>
      </c>
      <c r="BN7" s="8">
        <v>0</v>
      </c>
      <c r="BO7" s="14">
        <v>0</v>
      </c>
      <c r="BP7" s="14">
        <f t="shared" si="11"/>
        <v>0.6</v>
      </c>
      <c r="BQ7" s="14">
        <v>0</v>
      </c>
      <c r="BR7" s="15">
        <v>0.79</v>
      </c>
      <c r="BS7" s="15">
        <f t="shared" si="12"/>
        <v>6.6359999999999988E-2</v>
      </c>
      <c r="BT7" s="14">
        <v>0</v>
      </c>
      <c r="BU7" s="14">
        <v>0</v>
      </c>
      <c r="BV7" s="15">
        <v>62.3</v>
      </c>
      <c r="BW7" s="15">
        <v>7.2999999999999995E-2</v>
      </c>
      <c r="BX7" s="15">
        <f t="shared" si="13"/>
        <v>55.499999999999993</v>
      </c>
      <c r="BY7" s="14">
        <f t="shared" si="14"/>
        <v>0</v>
      </c>
      <c r="BZ7" s="14">
        <f t="shared" si="15"/>
        <v>0</v>
      </c>
      <c r="CA7" s="14">
        <f t="shared" si="16"/>
        <v>0</v>
      </c>
      <c r="CB7" s="14">
        <f t="shared" si="17"/>
        <v>55.499999999999993</v>
      </c>
      <c r="CC7" s="15">
        <f t="shared" si="18"/>
        <v>0.86499999999999999</v>
      </c>
      <c r="CD7" s="14">
        <f t="shared" si="19"/>
        <v>48.01</v>
      </c>
      <c r="CE7" s="14">
        <f t="shared" si="20"/>
        <v>0.92500000000000004</v>
      </c>
      <c r="CF7" s="14">
        <f t="shared" si="21"/>
        <v>44.41</v>
      </c>
      <c r="CG7" s="14">
        <f t="shared" si="22"/>
        <v>41</v>
      </c>
    </row>
    <row r="8" spans="1:85" ht="13.2" x14ac:dyDescent="0.25">
      <c r="A8" s="8">
        <v>1060380</v>
      </c>
      <c r="B8" s="9" t="s">
        <v>98</v>
      </c>
      <c r="C8" s="9" t="s">
        <v>86</v>
      </c>
      <c r="D8" s="9">
        <v>1</v>
      </c>
      <c r="E8" s="9">
        <v>0</v>
      </c>
      <c r="F8" s="9">
        <v>0</v>
      </c>
      <c r="G8" s="9">
        <v>0</v>
      </c>
      <c r="H8" s="10">
        <v>29</v>
      </c>
      <c r="I8" s="9">
        <v>29</v>
      </c>
      <c r="J8" s="11">
        <f t="shared" si="0"/>
        <v>0.8</v>
      </c>
      <c r="K8" s="10">
        <v>1173</v>
      </c>
      <c r="L8" s="11">
        <v>0.6</v>
      </c>
      <c r="M8" s="11">
        <v>0</v>
      </c>
      <c r="N8" s="11" t="s">
        <v>87</v>
      </c>
      <c r="O8" s="11">
        <v>1</v>
      </c>
      <c r="P8" s="12" t="s">
        <v>88</v>
      </c>
      <c r="Q8" s="12">
        <v>0</v>
      </c>
      <c r="R8" s="9">
        <v>27</v>
      </c>
      <c r="S8" s="10">
        <v>108</v>
      </c>
      <c r="T8" s="10">
        <v>46.92</v>
      </c>
      <c r="U8" s="10">
        <f t="shared" si="1"/>
        <v>0.8</v>
      </c>
      <c r="V8" s="10">
        <v>144.28</v>
      </c>
      <c r="W8" s="10">
        <f t="shared" si="2"/>
        <v>0.6</v>
      </c>
      <c r="X8" s="10">
        <v>104</v>
      </c>
      <c r="Y8" s="10">
        <v>48</v>
      </c>
      <c r="Z8" s="10">
        <v>1</v>
      </c>
      <c r="AA8" s="10">
        <v>8</v>
      </c>
      <c r="AB8" s="9">
        <v>27</v>
      </c>
      <c r="AC8" s="9">
        <f t="shared" si="3"/>
        <v>3</v>
      </c>
      <c r="AD8" s="9">
        <v>0</v>
      </c>
      <c r="AE8" s="9">
        <v>0.7</v>
      </c>
      <c r="AF8" s="9">
        <v>1.7500000000000002E-2</v>
      </c>
      <c r="AG8" s="9">
        <v>7.5</v>
      </c>
      <c r="AH8" s="9">
        <v>0.01</v>
      </c>
      <c r="AI8" s="13">
        <v>75</v>
      </c>
      <c r="AJ8" s="9">
        <f t="shared" si="4"/>
        <v>0.9</v>
      </c>
      <c r="AK8" s="9">
        <v>0</v>
      </c>
      <c r="AL8" s="9">
        <v>0</v>
      </c>
      <c r="AM8" s="9">
        <v>0</v>
      </c>
      <c r="AN8" s="9">
        <v>0</v>
      </c>
      <c r="AO8" s="9">
        <f t="shared" si="5"/>
        <v>0</v>
      </c>
      <c r="AP8" s="9">
        <v>0</v>
      </c>
      <c r="AQ8" s="9">
        <f t="shared" si="6"/>
        <v>0.3</v>
      </c>
      <c r="AR8" s="9">
        <v>4</v>
      </c>
      <c r="AS8" s="9">
        <v>0</v>
      </c>
      <c r="AT8" s="9">
        <v>0</v>
      </c>
      <c r="AU8" s="9">
        <v>0</v>
      </c>
      <c r="AV8" s="9">
        <v>0</v>
      </c>
      <c r="AW8" s="9">
        <v>53</v>
      </c>
      <c r="AX8" s="9">
        <v>0.5</v>
      </c>
      <c r="AY8" s="9">
        <v>0</v>
      </c>
      <c r="AZ8" s="9">
        <f t="shared" si="23"/>
        <v>0</v>
      </c>
      <c r="BA8" s="9">
        <v>0</v>
      </c>
      <c r="BB8" s="9">
        <v>0</v>
      </c>
      <c r="BC8" s="9">
        <v>0</v>
      </c>
      <c r="BD8" s="9">
        <v>0</v>
      </c>
      <c r="BE8" s="9">
        <v>7.5</v>
      </c>
      <c r="BF8" s="9">
        <f t="shared" si="8"/>
        <v>0.4</v>
      </c>
      <c r="BG8" s="9">
        <f t="shared" si="9"/>
        <v>1</v>
      </c>
      <c r="BH8" s="9">
        <v>8</v>
      </c>
      <c r="BI8" s="9">
        <f t="shared" si="10"/>
        <v>0.7</v>
      </c>
      <c r="BJ8" s="16">
        <v>8</v>
      </c>
      <c r="BK8" s="16">
        <v>0.86</v>
      </c>
      <c r="BL8" s="15">
        <v>8</v>
      </c>
      <c r="BM8" s="14">
        <v>0.67</v>
      </c>
      <c r="BN8" s="8">
        <v>0</v>
      </c>
      <c r="BO8" s="14">
        <v>0</v>
      </c>
      <c r="BP8" s="14">
        <f t="shared" si="11"/>
        <v>0.6</v>
      </c>
      <c r="BQ8" s="14">
        <v>0</v>
      </c>
      <c r="BR8" s="15">
        <v>0.76</v>
      </c>
      <c r="BS8" s="15">
        <f t="shared" si="12"/>
        <v>9.8400000000000001E-2</v>
      </c>
      <c r="BT8" s="14">
        <v>0</v>
      </c>
      <c r="BU8" s="14">
        <v>0</v>
      </c>
      <c r="BV8" s="15">
        <v>60</v>
      </c>
      <c r="BW8" s="15">
        <v>7.0000000000000007E-2</v>
      </c>
      <c r="BX8" s="15">
        <f t="shared" si="13"/>
        <v>57.000000000000007</v>
      </c>
      <c r="BY8" s="14">
        <f t="shared" si="14"/>
        <v>0</v>
      </c>
      <c r="BZ8" s="14">
        <f t="shared" si="15"/>
        <v>0</v>
      </c>
      <c r="CA8" s="14">
        <f t="shared" si="16"/>
        <v>0</v>
      </c>
      <c r="CB8" s="14">
        <f t="shared" si="17"/>
        <v>57.000000000000007</v>
      </c>
      <c r="CC8" s="15">
        <f t="shared" si="18"/>
        <v>0.86199999999999999</v>
      </c>
      <c r="CD8" s="14">
        <f t="shared" si="19"/>
        <v>49.13</v>
      </c>
      <c r="CE8" s="14">
        <f t="shared" si="20"/>
        <v>0.92500000000000004</v>
      </c>
      <c r="CF8" s="14">
        <f t="shared" si="21"/>
        <v>45.45</v>
      </c>
      <c r="CG8" s="14">
        <f t="shared" si="22"/>
        <v>38</v>
      </c>
    </row>
    <row r="9" spans="1:85" ht="13.2" x14ac:dyDescent="0.25">
      <c r="A9" s="8">
        <v>1159186</v>
      </c>
      <c r="B9" s="9" t="s">
        <v>99</v>
      </c>
      <c r="C9" s="9" t="s">
        <v>86</v>
      </c>
      <c r="D9" s="9">
        <v>1</v>
      </c>
      <c r="E9" s="9">
        <v>0</v>
      </c>
      <c r="F9" s="9">
        <v>0</v>
      </c>
      <c r="G9" s="9">
        <v>0</v>
      </c>
      <c r="H9" s="10">
        <v>31</v>
      </c>
      <c r="I9" s="9">
        <v>31</v>
      </c>
      <c r="J9" s="11">
        <f t="shared" si="0"/>
        <v>0.8</v>
      </c>
      <c r="K9" s="10">
        <v>1103</v>
      </c>
      <c r="L9" s="11">
        <v>0.4</v>
      </c>
      <c r="M9" s="11">
        <v>0</v>
      </c>
      <c r="N9" s="11" t="s">
        <v>87</v>
      </c>
      <c r="O9" s="11">
        <v>1</v>
      </c>
      <c r="P9" s="12" t="s">
        <v>88</v>
      </c>
      <c r="Q9" s="12">
        <v>0</v>
      </c>
      <c r="R9" s="9">
        <v>22</v>
      </c>
      <c r="S9" s="10">
        <v>124</v>
      </c>
      <c r="T9" s="10">
        <v>38.03</v>
      </c>
      <c r="U9" s="10">
        <f t="shared" si="1"/>
        <v>0.7</v>
      </c>
      <c r="V9" s="10">
        <v>159.86000000000001</v>
      </c>
      <c r="W9" s="10">
        <f t="shared" si="2"/>
        <v>0.7</v>
      </c>
      <c r="X9" s="10">
        <v>138</v>
      </c>
      <c r="Y9" s="10">
        <v>46</v>
      </c>
      <c r="Z9" s="10">
        <v>2</v>
      </c>
      <c r="AA9" s="10">
        <v>6</v>
      </c>
      <c r="AB9" s="9">
        <v>26.75</v>
      </c>
      <c r="AC9" s="9">
        <f t="shared" si="3"/>
        <v>3</v>
      </c>
      <c r="AD9" s="9">
        <v>0</v>
      </c>
      <c r="AE9" s="9">
        <v>0.6</v>
      </c>
      <c r="AF9" s="9">
        <v>1.4999999999999999E-2</v>
      </c>
      <c r="AG9" s="9">
        <v>7.5</v>
      </c>
      <c r="AH9" s="9">
        <v>0.5</v>
      </c>
      <c r="AI9" s="13">
        <v>65</v>
      </c>
      <c r="AJ9" s="9">
        <f t="shared" si="4"/>
        <v>0.8</v>
      </c>
      <c r="AK9" s="9">
        <v>0</v>
      </c>
      <c r="AL9" s="9">
        <v>0</v>
      </c>
      <c r="AM9" s="9">
        <v>0</v>
      </c>
      <c r="AN9" s="9">
        <v>0</v>
      </c>
      <c r="AO9" s="9">
        <f t="shared" si="5"/>
        <v>0</v>
      </c>
      <c r="AP9" s="9">
        <v>0</v>
      </c>
      <c r="AQ9" s="9">
        <f t="shared" si="6"/>
        <v>0</v>
      </c>
      <c r="AR9" s="9">
        <v>2</v>
      </c>
      <c r="AS9" s="9">
        <v>0</v>
      </c>
      <c r="AT9" s="9">
        <v>0</v>
      </c>
      <c r="AU9" s="9">
        <v>0</v>
      </c>
      <c r="AV9" s="9">
        <v>0</v>
      </c>
      <c r="AW9" s="9">
        <v>31</v>
      </c>
      <c r="AX9" s="9">
        <v>0.3</v>
      </c>
      <c r="AY9" s="9">
        <v>0</v>
      </c>
      <c r="AZ9" s="9">
        <f t="shared" si="23"/>
        <v>0</v>
      </c>
      <c r="BA9" s="9">
        <v>0</v>
      </c>
      <c r="BB9" s="9">
        <v>0</v>
      </c>
      <c r="BC9" s="9">
        <v>0</v>
      </c>
      <c r="BD9" s="9">
        <v>0</v>
      </c>
      <c r="BE9" s="9">
        <v>7</v>
      </c>
      <c r="BF9" s="9">
        <f t="shared" si="8"/>
        <v>0.3</v>
      </c>
      <c r="BG9" s="9">
        <f t="shared" si="9"/>
        <v>3</v>
      </c>
      <c r="BH9" s="9">
        <v>8</v>
      </c>
      <c r="BI9" s="9">
        <f t="shared" si="10"/>
        <v>0.7</v>
      </c>
      <c r="BJ9" s="9">
        <v>9</v>
      </c>
      <c r="BK9" s="9">
        <v>1</v>
      </c>
      <c r="BL9" s="15">
        <v>7</v>
      </c>
      <c r="BM9" s="14">
        <v>0.33</v>
      </c>
      <c r="BN9" s="8">
        <v>0</v>
      </c>
      <c r="BO9" s="14">
        <v>0</v>
      </c>
      <c r="BP9" s="14">
        <f t="shared" si="11"/>
        <v>0.5</v>
      </c>
      <c r="BQ9" s="14">
        <v>0</v>
      </c>
      <c r="BR9" s="15">
        <v>0.75</v>
      </c>
      <c r="BS9" s="15">
        <f t="shared" si="12"/>
        <v>7.5000000000000011E-2</v>
      </c>
      <c r="BT9" s="14">
        <v>0</v>
      </c>
      <c r="BU9" s="14">
        <v>0</v>
      </c>
      <c r="BV9" s="15">
        <v>67.900000000000006</v>
      </c>
      <c r="BW9" s="15">
        <v>7.9000000000000001E-2</v>
      </c>
      <c r="BX9" s="15">
        <f t="shared" si="13"/>
        <v>46.500000000000007</v>
      </c>
      <c r="BY9" s="14">
        <f t="shared" si="14"/>
        <v>0</v>
      </c>
      <c r="BZ9" s="14">
        <f t="shared" si="15"/>
        <v>0</v>
      </c>
      <c r="CA9" s="14">
        <f t="shared" si="16"/>
        <v>0</v>
      </c>
      <c r="CB9" s="14">
        <f t="shared" si="17"/>
        <v>46.500000000000007</v>
      </c>
      <c r="CC9" s="15">
        <f t="shared" si="18"/>
        <v>0.85799999999999998</v>
      </c>
      <c r="CD9" s="14">
        <f t="shared" si="19"/>
        <v>39.9</v>
      </c>
      <c r="CE9" s="14">
        <f t="shared" si="20"/>
        <v>1</v>
      </c>
      <c r="CF9" s="14">
        <f t="shared" si="21"/>
        <v>39.9</v>
      </c>
      <c r="CG9" s="14">
        <f t="shared" si="22"/>
        <v>47</v>
      </c>
    </row>
    <row r="10" spans="1:85" ht="13.2" x14ac:dyDescent="0.25">
      <c r="A10" s="8">
        <v>44828</v>
      </c>
      <c r="B10" s="9" t="s">
        <v>100</v>
      </c>
      <c r="C10" s="9" t="s">
        <v>86</v>
      </c>
      <c r="D10" s="9">
        <v>1</v>
      </c>
      <c r="E10" s="9">
        <v>0</v>
      </c>
      <c r="F10" s="9">
        <v>0</v>
      </c>
      <c r="G10" s="9">
        <v>0</v>
      </c>
      <c r="H10" s="10">
        <v>30</v>
      </c>
      <c r="I10" s="9">
        <v>30</v>
      </c>
      <c r="J10" s="11">
        <f t="shared" si="0"/>
        <v>0.9</v>
      </c>
      <c r="K10" s="10">
        <v>1193</v>
      </c>
      <c r="L10" s="11">
        <v>0.6</v>
      </c>
      <c r="M10" s="11">
        <v>0</v>
      </c>
      <c r="N10" s="11" t="s">
        <v>87</v>
      </c>
      <c r="O10" s="11">
        <v>1</v>
      </c>
      <c r="P10" s="12" t="s">
        <v>101</v>
      </c>
      <c r="Q10" s="12">
        <v>1</v>
      </c>
      <c r="R10" s="9">
        <v>40</v>
      </c>
      <c r="S10" s="10">
        <v>84</v>
      </c>
      <c r="T10" s="10">
        <v>41.14</v>
      </c>
      <c r="U10" s="10">
        <f t="shared" si="1"/>
        <v>0.7</v>
      </c>
      <c r="V10" s="10">
        <v>154.33000000000001</v>
      </c>
      <c r="W10" s="10">
        <f t="shared" si="2"/>
        <v>0.6</v>
      </c>
      <c r="X10" s="10">
        <v>110</v>
      </c>
      <c r="Y10" s="10">
        <v>57</v>
      </c>
      <c r="Z10" s="10">
        <v>0</v>
      </c>
      <c r="AA10" s="10">
        <v>12</v>
      </c>
      <c r="AB10" s="9">
        <v>23.75</v>
      </c>
      <c r="AC10" s="9">
        <f t="shared" si="3"/>
        <v>3</v>
      </c>
      <c r="AD10" s="9">
        <v>2</v>
      </c>
      <c r="AE10" s="9">
        <v>0.7</v>
      </c>
      <c r="AF10" s="9">
        <v>1.7500000000000002E-2</v>
      </c>
      <c r="AG10" s="9">
        <v>6.5</v>
      </c>
      <c r="AH10" s="9">
        <v>7.3999999999999996E-2</v>
      </c>
      <c r="AI10" s="13">
        <v>80</v>
      </c>
      <c r="AJ10" s="9">
        <f t="shared" si="4"/>
        <v>0.9</v>
      </c>
      <c r="AK10" s="9">
        <v>0</v>
      </c>
      <c r="AL10" s="9">
        <v>0</v>
      </c>
      <c r="AM10" s="9">
        <v>0</v>
      </c>
      <c r="AN10" s="9">
        <v>0</v>
      </c>
      <c r="AO10" s="9">
        <f t="shared" si="5"/>
        <v>0</v>
      </c>
      <c r="AP10" s="9">
        <v>0</v>
      </c>
      <c r="AQ10" s="9">
        <f t="shared" si="6"/>
        <v>0.8</v>
      </c>
      <c r="AR10" s="9">
        <v>6.5</v>
      </c>
      <c r="AS10" s="9">
        <v>0</v>
      </c>
      <c r="AT10" s="9">
        <v>0</v>
      </c>
      <c r="AU10" s="9">
        <v>0</v>
      </c>
      <c r="AV10" s="9">
        <v>0</v>
      </c>
      <c r="AW10" s="9">
        <v>29</v>
      </c>
      <c r="AX10" s="9">
        <v>0.3</v>
      </c>
      <c r="AY10" s="9">
        <v>0</v>
      </c>
      <c r="AZ10" s="9">
        <f t="shared" si="23"/>
        <v>0</v>
      </c>
      <c r="BA10" s="9">
        <v>0</v>
      </c>
      <c r="BB10" s="9">
        <v>0</v>
      </c>
      <c r="BC10" s="9">
        <v>0</v>
      </c>
      <c r="BD10" s="9">
        <v>0</v>
      </c>
      <c r="BE10" s="9">
        <v>6.5</v>
      </c>
      <c r="BF10" s="9">
        <f t="shared" si="8"/>
        <v>0.1</v>
      </c>
      <c r="BG10" s="9">
        <f t="shared" si="9"/>
        <v>3</v>
      </c>
      <c r="BH10" s="9">
        <v>7</v>
      </c>
      <c r="BI10" s="9">
        <f t="shared" si="10"/>
        <v>0.3</v>
      </c>
      <c r="BJ10" s="9">
        <v>8</v>
      </c>
      <c r="BK10" s="9">
        <v>0.86</v>
      </c>
      <c r="BL10" s="15">
        <v>7</v>
      </c>
      <c r="BM10" s="14">
        <v>0.33</v>
      </c>
      <c r="BN10" s="8">
        <v>0</v>
      </c>
      <c r="BO10" s="14">
        <v>0</v>
      </c>
      <c r="BP10" s="14">
        <f t="shared" si="11"/>
        <v>0.6</v>
      </c>
      <c r="BQ10" s="14">
        <v>0</v>
      </c>
      <c r="BR10" s="15">
        <v>0.57999999999999996</v>
      </c>
      <c r="BS10" s="15">
        <f t="shared" si="12"/>
        <v>0.16212000000000001</v>
      </c>
      <c r="BT10" s="14">
        <v>0</v>
      </c>
      <c r="BU10" s="14">
        <v>0</v>
      </c>
      <c r="BV10" s="15">
        <v>55.6</v>
      </c>
      <c r="BW10" s="15">
        <v>6.6000000000000003E-2</v>
      </c>
      <c r="BX10" s="15">
        <f t="shared" si="13"/>
        <v>52</v>
      </c>
      <c r="BY10" s="14">
        <f t="shared" si="14"/>
        <v>0</v>
      </c>
      <c r="BZ10" s="14">
        <f t="shared" si="15"/>
        <v>0</v>
      </c>
      <c r="CA10" s="14">
        <f t="shared" si="16"/>
        <v>0</v>
      </c>
      <c r="CB10" s="14">
        <f t="shared" si="17"/>
        <v>52</v>
      </c>
      <c r="CC10" s="15">
        <f t="shared" si="18"/>
        <v>0.83199999999999996</v>
      </c>
      <c r="CD10" s="14">
        <f t="shared" si="19"/>
        <v>43.26</v>
      </c>
      <c r="CE10" s="14">
        <f t="shared" si="20"/>
        <v>0.8</v>
      </c>
      <c r="CF10" s="14">
        <f t="shared" si="21"/>
        <v>34.61</v>
      </c>
      <c r="CG10" s="14">
        <f t="shared" si="22"/>
        <v>61</v>
      </c>
    </row>
    <row r="11" spans="1:85" ht="13.2" x14ac:dyDescent="0.25">
      <c r="A11" s="8">
        <v>530011</v>
      </c>
      <c r="B11" s="16" t="s">
        <v>102</v>
      </c>
      <c r="C11" s="9" t="s">
        <v>86</v>
      </c>
      <c r="D11" s="16">
        <v>1</v>
      </c>
      <c r="E11" s="9">
        <v>0</v>
      </c>
      <c r="F11" s="9">
        <v>0</v>
      </c>
      <c r="G11" s="9">
        <v>0</v>
      </c>
      <c r="H11" s="17">
        <v>15</v>
      </c>
      <c r="I11" s="16">
        <v>15</v>
      </c>
      <c r="J11" s="11">
        <f t="shared" si="0"/>
        <v>0.4</v>
      </c>
      <c r="K11" s="17">
        <v>567</v>
      </c>
      <c r="L11" s="18">
        <v>0.5</v>
      </c>
      <c r="M11" s="18">
        <v>0</v>
      </c>
      <c r="N11" s="18" t="s">
        <v>90</v>
      </c>
      <c r="O11" s="18">
        <v>1</v>
      </c>
      <c r="P11" s="19" t="s">
        <v>103</v>
      </c>
      <c r="Q11" s="19">
        <v>1</v>
      </c>
      <c r="R11" s="16">
        <v>30</v>
      </c>
      <c r="S11" s="17">
        <v>102</v>
      </c>
      <c r="T11" s="20">
        <v>40.5</v>
      </c>
      <c r="U11" s="10">
        <f t="shared" si="1"/>
        <v>0.7</v>
      </c>
      <c r="V11" s="20">
        <v>191.55</v>
      </c>
      <c r="W11" s="10">
        <f t="shared" si="2"/>
        <v>0.8</v>
      </c>
      <c r="X11" s="20">
        <v>64</v>
      </c>
      <c r="Y11" s="20">
        <v>32</v>
      </c>
      <c r="Z11" s="20">
        <v>1</v>
      </c>
      <c r="AA11" s="20">
        <v>4</v>
      </c>
      <c r="AB11" s="16">
        <v>18</v>
      </c>
      <c r="AC11" s="16">
        <f t="shared" si="3"/>
        <v>3</v>
      </c>
      <c r="AD11" s="16">
        <v>2</v>
      </c>
      <c r="AE11" s="16">
        <v>0.6</v>
      </c>
      <c r="AF11" s="16">
        <v>1.4999999999999999E-2</v>
      </c>
      <c r="AG11" s="16">
        <v>8.5</v>
      </c>
      <c r="AH11" s="16">
        <v>0.25</v>
      </c>
      <c r="AI11" s="21">
        <v>70</v>
      </c>
      <c r="AJ11" s="9">
        <f t="shared" si="4"/>
        <v>0.8</v>
      </c>
      <c r="AK11" s="16">
        <v>0</v>
      </c>
      <c r="AL11" s="16">
        <v>0</v>
      </c>
      <c r="AM11" s="16">
        <v>0</v>
      </c>
      <c r="AN11" s="9">
        <v>0</v>
      </c>
      <c r="AO11" s="9">
        <f t="shared" si="5"/>
        <v>0</v>
      </c>
      <c r="AP11" s="16">
        <v>0</v>
      </c>
      <c r="AQ11" s="9">
        <f t="shared" si="6"/>
        <v>0.4</v>
      </c>
      <c r="AR11" s="16">
        <v>4.5</v>
      </c>
      <c r="AS11" s="16">
        <v>0</v>
      </c>
      <c r="AT11" s="16">
        <v>0</v>
      </c>
      <c r="AU11" s="16">
        <v>0</v>
      </c>
      <c r="AV11" s="9">
        <v>0</v>
      </c>
      <c r="AW11" s="16">
        <v>40</v>
      </c>
      <c r="AX11" s="9">
        <v>0.4</v>
      </c>
      <c r="AY11" s="16">
        <v>0</v>
      </c>
      <c r="AZ11" s="9">
        <f t="shared" si="23"/>
        <v>0</v>
      </c>
      <c r="BA11" s="16">
        <v>0</v>
      </c>
      <c r="BB11" s="9">
        <v>0</v>
      </c>
      <c r="BC11" s="16">
        <v>0</v>
      </c>
      <c r="BD11" s="16">
        <v>0</v>
      </c>
      <c r="BE11" s="16">
        <v>8.5</v>
      </c>
      <c r="BF11" s="9">
        <f t="shared" si="8"/>
        <v>0.6</v>
      </c>
      <c r="BG11" s="16">
        <f t="shared" si="9"/>
        <v>1</v>
      </c>
      <c r="BH11" s="16">
        <v>7</v>
      </c>
      <c r="BI11" s="9">
        <f t="shared" si="10"/>
        <v>0.3</v>
      </c>
      <c r="BJ11" s="9">
        <v>7</v>
      </c>
      <c r="BK11" s="9">
        <v>0.71</v>
      </c>
      <c r="BL11" s="15">
        <v>6</v>
      </c>
      <c r="BM11" s="22">
        <v>0</v>
      </c>
      <c r="BN11" s="8">
        <v>0</v>
      </c>
      <c r="BO11" s="14">
        <v>0</v>
      </c>
      <c r="BP11" s="14">
        <f t="shared" si="11"/>
        <v>0.7</v>
      </c>
      <c r="BQ11" s="14">
        <v>0</v>
      </c>
      <c r="BR11" s="15">
        <v>0.83</v>
      </c>
      <c r="BS11" s="15">
        <f t="shared" si="12"/>
        <v>6.2730000000000008E-2</v>
      </c>
      <c r="BT11" s="14">
        <v>0</v>
      </c>
      <c r="BU11" s="14">
        <v>0</v>
      </c>
      <c r="BV11" s="15">
        <v>59.35</v>
      </c>
      <c r="BW11" s="15">
        <v>7.0000000000000007E-2</v>
      </c>
      <c r="BX11" s="15">
        <f t="shared" si="13"/>
        <v>62.5</v>
      </c>
      <c r="BY11" s="14">
        <f t="shared" si="14"/>
        <v>0</v>
      </c>
      <c r="BZ11" s="14">
        <f t="shared" si="15"/>
        <v>0</v>
      </c>
      <c r="CA11" s="14">
        <f t="shared" si="16"/>
        <v>0</v>
      </c>
      <c r="CB11" s="14">
        <f t="shared" si="17"/>
        <v>62.5</v>
      </c>
      <c r="CC11" s="15">
        <f t="shared" si="18"/>
        <v>0.872</v>
      </c>
      <c r="CD11" s="14">
        <f t="shared" si="19"/>
        <v>54.5</v>
      </c>
      <c r="CE11" s="14">
        <f t="shared" si="20"/>
        <v>0.9</v>
      </c>
      <c r="CF11" s="14">
        <f t="shared" si="21"/>
        <v>49.05</v>
      </c>
      <c r="CG11" s="14">
        <f t="shared" si="22"/>
        <v>28</v>
      </c>
    </row>
    <row r="12" spans="1:85" ht="13.2" x14ac:dyDescent="0.25">
      <c r="A12" s="8">
        <v>436757</v>
      </c>
      <c r="B12" s="9" t="s">
        <v>104</v>
      </c>
      <c r="C12" s="9" t="s">
        <v>86</v>
      </c>
      <c r="D12" s="9">
        <v>1</v>
      </c>
      <c r="E12" s="9">
        <v>0</v>
      </c>
      <c r="F12" s="9">
        <v>0</v>
      </c>
      <c r="G12" s="9">
        <v>1</v>
      </c>
      <c r="H12" s="10">
        <v>26</v>
      </c>
      <c r="I12" s="9">
        <v>26</v>
      </c>
      <c r="J12" s="11">
        <f t="shared" si="0"/>
        <v>0.7</v>
      </c>
      <c r="K12" s="10">
        <v>927</v>
      </c>
      <c r="L12" s="11">
        <v>0.5</v>
      </c>
      <c r="M12" s="11">
        <v>0</v>
      </c>
      <c r="N12" s="11" t="s">
        <v>90</v>
      </c>
      <c r="O12" s="11">
        <v>3</v>
      </c>
      <c r="P12" s="12" t="s">
        <v>101</v>
      </c>
      <c r="Q12" s="12">
        <v>1</v>
      </c>
      <c r="R12" s="9">
        <v>32</v>
      </c>
      <c r="S12" s="10">
        <v>104</v>
      </c>
      <c r="T12" s="10">
        <v>44.14</v>
      </c>
      <c r="U12" s="10">
        <f t="shared" si="1"/>
        <v>0.8</v>
      </c>
      <c r="V12" s="10">
        <v>173.92</v>
      </c>
      <c r="W12" s="10">
        <f t="shared" si="2"/>
        <v>0.7</v>
      </c>
      <c r="X12" s="10">
        <v>51</v>
      </c>
      <c r="Y12" s="10">
        <v>63</v>
      </c>
      <c r="Z12" s="10">
        <v>1</v>
      </c>
      <c r="AA12" s="10">
        <v>6</v>
      </c>
      <c r="AB12" s="9">
        <v>18</v>
      </c>
      <c r="AC12" s="9">
        <f t="shared" si="3"/>
        <v>3</v>
      </c>
      <c r="AD12" s="9">
        <v>2</v>
      </c>
      <c r="AE12" s="9">
        <v>0.6</v>
      </c>
      <c r="AF12" s="9">
        <v>1.4999999999999999E-2</v>
      </c>
      <c r="AG12" s="9">
        <v>9</v>
      </c>
      <c r="AH12" s="9">
        <v>0.125</v>
      </c>
      <c r="AI12" s="13">
        <v>50</v>
      </c>
      <c r="AJ12" s="9">
        <f t="shared" si="4"/>
        <v>0.6</v>
      </c>
      <c r="AK12" s="9">
        <v>2</v>
      </c>
      <c r="AL12" s="9">
        <v>0</v>
      </c>
      <c r="AM12" s="9">
        <v>0</v>
      </c>
      <c r="AN12" s="9">
        <v>0</v>
      </c>
      <c r="AO12" s="9">
        <f t="shared" si="5"/>
        <v>0</v>
      </c>
      <c r="AP12" s="9">
        <v>0</v>
      </c>
      <c r="AQ12" s="9">
        <f t="shared" si="6"/>
        <v>0.5</v>
      </c>
      <c r="AR12" s="9">
        <v>5</v>
      </c>
      <c r="AS12" s="9">
        <v>0</v>
      </c>
      <c r="AT12" s="9">
        <v>0</v>
      </c>
      <c r="AU12" s="9">
        <v>0</v>
      </c>
      <c r="AV12" s="9">
        <v>0</v>
      </c>
      <c r="AW12" s="9">
        <v>39</v>
      </c>
      <c r="AX12" s="9">
        <v>0.4</v>
      </c>
      <c r="AY12" s="9">
        <v>10</v>
      </c>
      <c r="AZ12" s="9">
        <v>0.67</v>
      </c>
      <c r="BA12" s="9">
        <v>20</v>
      </c>
      <c r="BB12" s="9">
        <v>0.44400000000000001</v>
      </c>
      <c r="BC12" s="9">
        <v>0</v>
      </c>
      <c r="BD12" s="9">
        <v>0</v>
      </c>
      <c r="BE12" s="9">
        <v>9</v>
      </c>
      <c r="BF12" s="9">
        <f t="shared" si="8"/>
        <v>0.8</v>
      </c>
      <c r="BG12" s="9">
        <f t="shared" si="9"/>
        <v>3</v>
      </c>
      <c r="BH12" s="9">
        <v>6</v>
      </c>
      <c r="BI12" s="9">
        <f t="shared" si="10"/>
        <v>0</v>
      </c>
      <c r="BJ12" s="9">
        <v>9</v>
      </c>
      <c r="BK12" s="9">
        <v>1</v>
      </c>
      <c r="BL12" s="15">
        <v>8</v>
      </c>
      <c r="BM12" s="14">
        <v>0.67</v>
      </c>
      <c r="BN12" s="8">
        <v>0</v>
      </c>
      <c r="BO12" s="14">
        <v>0.4</v>
      </c>
      <c r="BP12" s="14">
        <f t="shared" si="11"/>
        <v>0.7</v>
      </c>
      <c r="BQ12" s="14">
        <v>0</v>
      </c>
      <c r="BR12" s="15">
        <v>0.8</v>
      </c>
      <c r="BS12" s="15">
        <f t="shared" si="12"/>
        <v>7.2199999999999986E-2</v>
      </c>
      <c r="BT12" s="14">
        <v>0</v>
      </c>
      <c r="BU12" s="14">
        <v>0</v>
      </c>
      <c r="BV12" s="15">
        <v>60.4</v>
      </c>
      <c r="BW12" s="15">
        <v>7.0999999999999994E-2</v>
      </c>
      <c r="BX12" s="15">
        <f t="shared" si="13"/>
        <v>63.000000000000014</v>
      </c>
      <c r="BY12" s="14">
        <f t="shared" si="14"/>
        <v>0</v>
      </c>
      <c r="BZ12" s="14">
        <f t="shared" si="15"/>
        <v>0</v>
      </c>
      <c r="CA12" s="14">
        <f t="shared" si="16"/>
        <v>52.76</v>
      </c>
      <c r="CB12" s="14">
        <f t="shared" si="17"/>
        <v>115.76000000000002</v>
      </c>
      <c r="CC12" s="15">
        <f t="shared" si="18"/>
        <v>0.86699999999999999</v>
      </c>
      <c r="CD12" s="14">
        <f t="shared" si="19"/>
        <v>100.36</v>
      </c>
      <c r="CE12" s="14">
        <f t="shared" si="20"/>
        <v>0.82499999999999996</v>
      </c>
      <c r="CF12" s="14">
        <f t="shared" si="21"/>
        <v>82.8</v>
      </c>
      <c r="CG12" s="14">
        <f t="shared" si="22"/>
        <v>12</v>
      </c>
    </row>
    <row r="13" spans="1:85" ht="13.2" x14ac:dyDescent="0.25">
      <c r="A13" s="8">
        <v>1079434</v>
      </c>
      <c r="B13" s="9" t="s">
        <v>105</v>
      </c>
      <c r="C13" s="9" t="s">
        <v>86</v>
      </c>
      <c r="D13" s="9">
        <v>1</v>
      </c>
      <c r="E13" s="9">
        <v>0</v>
      </c>
      <c r="F13" s="9">
        <v>0</v>
      </c>
      <c r="G13" s="9">
        <v>0</v>
      </c>
      <c r="H13" s="10">
        <v>22</v>
      </c>
      <c r="I13" s="9">
        <v>22</v>
      </c>
      <c r="J13" s="11">
        <f t="shared" si="0"/>
        <v>0.5</v>
      </c>
      <c r="K13" s="10">
        <v>666</v>
      </c>
      <c r="L13" s="11">
        <v>0.4</v>
      </c>
      <c r="M13" s="11">
        <v>0</v>
      </c>
      <c r="N13" s="11" t="s">
        <v>90</v>
      </c>
      <c r="O13" s="11">
        <v>2</v>
      </c>
      <c r="P13" s="12" t="s">
        <v>88</v>
      </c>
      <c r="Q13" s="12">
        <v>0</v>
      </c>
      <c r="R13" s="9">
        <v>22</v>
      </c>
      <c r="S13" s="10">
        <v>84</v>
      </c>
      <c r="T13" s="10">
        <v>37</v>
      </c>
      <c r="U13" s="10">
        <f t="shared" si="1"/>
        <v>0.7</v>
      </c>
      <c r="V13" s="10">
        <v>143.22999999999999</v>
      </c>
      <c r="W13" s="10">
        <f t="shared" si="2"/>
        <v>0.6</v>
      </c>
      <c r="X13" s="10">
        <v>45</v>
      </c>
      <c r="Y13" s="10">
        <v>38</v>
      </c>
      <c r="Z13" s="10">
        <v>0</v>
      </c>
      <c r="AA13" s="10">
        <v>4</v>
      </c>
      <c r="AB13" s="9">
        <v>15.75</v>
      </c>
      <c r="AC13" s="9">
        <f t="shared" si="3"/>
        <v>3</v>
      </c>
      <c r="AD13" s="9">
        <v>0</v>
      </c>
      <c r="AE13" s="9">
        <v>0.5</v>
      </c>
      <c r="AF13" s="9">
        <v>1.2500000000000001E-2</v>
      </c>
      <c r="AG13" s="9">
        <v>8.5</v>
      </c>
      <c r="AH13" s="9">
        <v>0.05</v>
      </c>
      <c r="AI13" s="13">
        <v>40</v>
      </c>
      <c r="AJ13" s="9">
        <f t="shared" si="4"/>
        <v>0.4</v>
      </c>
      <c r="AK13" s="9">
        <v>0</v>
      </c>
      <c r="AL13" s="9">
        <v>0</v>
      </c>
      <c r="AM13" s="9">
        <v>0</v>
      </c>
      <c r="AN13" s="9">
        <v>0</v>
      </c>
      <c r="AO13" s="9">
        <f t="shared" si="5"/>
        <v>0</v>
      </c>
      <c r="AP13" s="9">
        <v>0</v>
      </c>
      <c r="AQ13" s="9">
        <f t="shared" si="6"/>
        <v>0.1</v>
      </c>
      <c r="AR13" s="9">
        <v>2.5</v>
      </c>
      <c r="AS13" s="9">
        <v>0</v>
      </c>
      <c r="AT13" s="9">
        <v>0</v>
      </c>
      <c r="AU13" s="9">
        <v>0</v>
      </c>
      <c r="AV13" s="9">
        <v>0</v>
      </c>
      <c r="AW13" s="9">
        <v>52</v>
      </c>
      <c r="AX13" s="9">
        <v>0.5</v>
      </c>
      <c r="AY13" s="9">
        <v>0</v>
      </c>
      <c r="AZ13" s="9">
        <f t="shared" ref="AZ13:AZ17" si="24">(AP13 - MIN($AP$2:$AP$964)) / (MAX($AP$2:$AP$964) - MIN($AP$2:$AP$964))</f>
        <v>0</v>
      </c>
      <c r="BA13" s="9">
        <v>0</v>
      </c>
      <c r="BB13" s="9">
        <v>0</v>
      </c>
      <c r="BC13" s="9">
        <v>0</v>
      </c>
      <c r="BD13" s="9">
        <v>0</v>
      </c>
      <c r="BE13" s="9">
        <v>8.5</v>
      </c>
      <c r="BF13" s="9">
        <f t="shared" si="8"/>
        <v>0.6</v>
      </c>
      <c r="BG13" s="9">
        <f t="shared" si="9"/>
        <v>1</v>
      </c>
      <c r="BH13" s="9">
        <v>6</v>
      </c>
      <c r="BI13" s="9">
        <f t="shared" si="10"/>
        <v>0</v>
      </c>
      <c r="BJ13" s="9">
        <v>6</v>
      </c>
      <c r="BK13" s="9">
        <v>0.56999999999999995</v>
      </c>
      <c r="BL13" s="15">
        <v>9</v>
      </c>
      <c r="BM13" s="14">
        <v>1</v>
      </c>
      <c r="BN13" s="8">
        <v>0</v>
      </c>
      <c r="BO13" s="14">
        <v>0</v>
      </c>
      <c r="BP13" s="14">
        <f t="shared" si="11"/>
        <v>0.5</v>
      </c>
      <c r="BQ13" s="14">
        <v>0</v>
      </c>
      <c r="BR13" s="15">
        <v>0.63</v>
      </c>
      <c r="BS13" s="15">
        <f t="shared" si="12"/>
        <v>0.10212</v>
      </c>
      <c r="BT13" s="14">
        <v>0</v>
      </c>
      <c r="BU13" s="14">
        <v>0</v>
      </c>
      <c r="BV13" s="15">
        <v>35.15</v>
      </c>
      <c r="BW13" s="15">
        <v>4.2999999999999997E-2</v>
      </c>
      <c r="BX13" s="15">
        <f t="shared" si="13"/>
        <v>50</v>
      </c>
      <c r="BY13" s="14">
        <f t="shared" si="14"/>
        <v>0</v>
      </c>
      <c r="BZ13" s="14">
        <f t="shared" si="15"/>
        <v>0</v>
      </c>
      <c r="CA13" s="14">
        <f t="shared" si="16"/>
        <v>0</v>
      </c>
      <c r="CB13" s="14">
        <f t="shared" si="17"/>
        <v>50</v>
      </c>
      <c r="CC13" s="15">
        <f t="shared" si="18"/>
        <v>0.83599999999999997</v>
      </c>
      <c r="CD13" s="15">
        <f t="shared" si="19"/>
        <v>41.8</v>
      </c>
      <c r="CE13" s="14">
        <f t="shared" si="20"/>
        <v>0.97499999999999998</v>
      </c>
      <c r="CF13" s="14">
        <f t="shared" si="21"/>
        <v>40.76</v>
      </c>
      <c r="CG13" s="14">
        <f t="shared" si="22"/>
        <v>46</v>
      </c>
    </row>
    <row r="14" spans="1:85" ht="13.2" x14ac:dyDescent="0.25">
      <c r="A14" s="8">
        <v>931581</v>
      </c>
      <c r="B14" s="9" t="s">
        <v>106</v>
      </c>
      <c r="C14" s="9" t="s">
        <v>86</v>
      </c>
      <c r="D14" s="9">
        <v>1</v>
      </c>
      <c r="E14" s="9">
        <v>0</v>
      </c>
      <c r="F14" s="9">
        <v>0</v>
      </c>
      <c r="G14" s="9">
        <v>0</v>
      </c>
      <c r="H14" s="10">
        <v>13</v>
      </c>
      <c r="I14" s="9">
        <v>13</v>
      </c>
      <c r="J14" s="11">
        <f t="shared" si="0"/>
        <v>0.3</v>
      </c>
      <c r="K14" s="10">
        <v>446</v>
      </c>
      <c r="L14" s="11">
        <v>0.4</v>
      </c>
      <c r="M14" s="11">
        <v>0</v>
      </c>
      <c r="N14" s="11" t="s">
        <v>96</v>
      </c>
      <c r="O14" s="11">
        <v>2</v>
      </c>
      <c r="P14" s="12" t="s">
        <v>88</v>
      </c>
      <c r="Q14" s="12">
        <v>0</v>
      </c>
      <c r="R14" s="9">
        <v>26</v>
      </c>
      <c r="S14" s="10">
        <v>88</v>
      </c>
      <c r="T14" s="10">
        <v>40.549999999999997</v>
      </c>
      <c r="U14" s="10">
        <f t="shared" si="1"/>
        <v>0.7</v>
      </c>
      <c r="V14" s="10">
        <v>155.4</v>
      </c>
      <c r="W14" s="10">
        <f t="shared" si="2"/>
        <v>0.6</v>
      </c>
      <c r="X14" s="10">
        <v>36</v>
      </c>
      <c r="Y14" s="10">
        <v>25</v>
      </c>
      <c r="Z14" s="10">
        <v>0</v>
      </c>
      <c r="AA14" s="10">
        <v>3</v>
      </c>
      <c r="AB14" s="9">
        <v>14</v>
      </c>
      <c r="AC14" s="9">
        <f t="shared" si="3"/>
        <v>3</v>
      </c>
      <c r="AD14" s="9">
        <v>2</v>
      </c>
      <c r="AE14" s="9">
        <v>0.7</v>
      </c>
      <c r="AF14" s="9">
        <v>1.7500000000000002E-2</v>
      </c>
      <c r="AG14" s="9">
        <v>8</v>
      </c>
      <c r="AH14" s="9">
        <v>5.3999999999999999E-2</v>
      </c>
      <c r="AI14" s="13">
        <v>60</v>
      </c>
      <c r="AJ14" s="9">
        <f t="shared" si="4"/>
        <v>0.7</v>
      </c>
      <c r="AK14" s="9">
        <v>0</v>
      </c>
      <c r="AL14" s="9">
        <v>0</v>
      </c>
      <c r="AM14" s="9">
        <v>0</v>
      </c>
      <c r="AN14" s="9">
        <v>0</v>
      </c>
      <c r="AO14" s="9">
        <f t="shared" si="5"/>
        <v>0</v>
      </c>
      <c r="AP14" s="9">
        <v>0</v>
      </c>
      <c r="AQ14" s="9">
        <f t="shared" si="6"/>
        <v>0.3</v>
      </c>
      <c r="AR14" s="9">
        <v>3.5</v>
      </c>
      <c r="AS14" s="9">
        <v>0</v>
      </c>
      <c r="AT14" s="9">
        <v>0</v>
      </c>
      <c r="AU14" s="9">
        <v>0</v>
      </c>
      <c r="AV14" s="9">
        <v>0</v>
      </c>
      <c r="AW14" s="9">
        <v>40</v>
      </c>
      <c r="AX14" s="9">
        <v>0.4</v>
      </c>
      <c r="AY14" s="9">
        <v>0</v>
      </c>
      <c r="AZ14" s="9">
        <f t="shared" si="24"/>
        <v>0</v>
      </c>
      <c r="BA14" s="9">
        <v>0</v>
      </c>
      <c r="BB14" s="9">
        <v>0</v>
      </c>
      <c r="BC14" s="9">
        <v>0</v>
      </c>
      <c r="BD14" s="9">
        <v>0</v>
      </c>
      <c r="BE14" s="9">
        <v>8</v>
      </c>
      <c r="BF14" s="9">
        <f t="shared" si="8"/>
        <v>0.5</v>
      </c>
      <c r="BG14" s="9">
        <f t="shared" si="9"/>
        <v>1</v>
      </c>
      <c r="BH14" s="9">
        <v>7</v>
      </c>
      <c r="BI14" s="9">
        <f t="shared" si="10"/>
        <v>0.3</v>
      </c>
      <c r="BJ14" s="9">
        <v>8</v>
      </c>
      <c r="BK14" s="9">
        <v>0.86</v>
      </c>
      <c r="BL14" s="15">
        <v>8</v>
      </c>
      <c r="BM14" s="14">
        <v>0.67</v>
      </c>
      <c r="BN14" s="8">
        <v>0</v>
      </c>
      <c r="BO14" s="14">
        <v>0</v>
      </c>
      <c r="BP14" s="14">
        <f t="shared" si="11"/>
        <v>0.5</v>
      </c>
      <c r="BQ14" s="14">
        <v>0</v>
      </c>
      <c r="BR14" s="15">
        <v>0.74</v>
      </c>
      <c r="BS14" s="15">
        <f t="shared" si="12"/>
        <v>7.9039999999999999E-2</v>
      </c>
      <c r="BT14" s="14">
        <v>0</v>
      </c>
      <c r="BU14" s="14">
        <v>0</v>
      </c>
      <c r="BV14" s="15">
        <v>55.3</v>
      </c>
      <c r="BW14" s="15">
        <v>6.5000000000000002E-2</v>
      </c>
      <c r="BX14" s="15">
        <f t="shared" si="13"/>
        <v>48.000000000000007</v>
      </c>
      <c r="BY14" s="14">
        <f t="shared" si="14"/>
        <v>0</v>
      </c>
      <c r="BZ14" s="14">
        <f t="shared" si="15"/>
        <v>0</v>
      </c>
      <c r="CA14" s="14">
        <f t="shared" si="16"/>
        <v>0</v>
      </c>
      <c r="CB14" s="14">
        <f t="shared" si="17"/>
        <v>48.000000000000007</v>
      </c>
      <c r="CC14" s="15">
        <f t="shared" si="18"/>
        <v>0.85599999999999998</v>
      </c>
      <c r="CD14" s="14">
        <f t="shared" si="19"/>
        <v>41.09</v>
      </c>
      <c r="CE14" s="14">
        <f t="shared" si="20"/>
        <v>0.92500000000000004</v>
      </c>
      <c r="CF14" s="14">
        <f t="shared" si="21"/>
        <v>38.01</v>
      </c>
      <c r="CG14" s="14">
        <f t="shared" si="22"/>
        <v>50</v>
      </c>
    </row>
    <row r="15" spans="1:85" ht="13.2" x14ac:dyDescent="0.25">
      <c r="A15" s="8">
        <v>1202550</v>
      </c>
      <c r="B15" s="9" t="s">
        <v>107</v>
      </c>
      <c r="C15" s="9" t="s">
        <v>86</v>
      </c>
      <c r="D15" s="9">
        <v>1</v>
      </c>
      <c r="E15" s="9">
        <v>0</v>
      </c>
      <c r="F15" s="9">
        <v>0</v>
      </c>
      <c r="G15" s="9">
        <v>0</v>
      </c>
      <c r="H15" s="10">
        <v>9</v>
      </c>
      <c r="I15" s="9">
        <v>9</v>
      </c>
      <c r="J15" s="11">
        <f t="shared" si="0"/>
        <v>0.2</v>
      </c>
      <c r="K15" s="10">
        <v>330</v>
      </c>
      <c r="L15" s="11">
        <v>0.2</v>
      </c>
      <c r="M15" s="11">
        <v>0</v>
      </c>
      <c r="N15" s="11" t="s">
        <v>90</v>
      </c>
      <c r="O15" s="11">
        <v>1</v>
      </c>
      <c r="P15" s="12" t="s">
        <v>103</v>
      </c>
      <c r="Q15" s="12">
        <v>1</v>
      </c>
      <c r="R15" s="9">
        <v>21</v>
      </c>
      <c r="S15" s="10">
        <v>84</v>
      </c>
      <c r="T15" s="10">
        <v>36.67</v>
      </c>
      <c r="U15" s="10">
        <f t="shared" si="1"/>
        <v>0.7</v>
      </c>
      <c r="V15" s="10">
        <v>234.04</v>
      </c>
      <c r="W15" s="10">
        <f t="shared" si="2"/>
        <v>1</v>
      </c>
      <c r="X15" s="10">
        <v>32</v>
      </c>
      <c r="Y15" s="10">
        <v>28</v>
      </c>
      <c r="Z15" s="10">
        <v>0</v>
      </c>
      <c r="AA15" s="10">
        <v>4</v>
      </c>
      <c r="AB15" s="9">
        <v>12.5</v>
      </c>
      <c r="AC15" s="9">
        <f t="shared" si="3"/>
        <v>3</v>
      </c>
      <c r="AD15" s="9">
        <v>2</v>
      </c>
      <c r="AE15" s="9">
        <v>0.5</v>
      </c>
      <c r="AF15" s="9">
        <v>1.2500000000000001E-2</v>
      </c>
      <c r="AG15" s="9">
        <v>7.5</v>
      </c>
      <c r="AH15" s="9">
        <v>8.3000000000000004E-2</v>
      </c>
      <c r="AI15" s="13">
        <v>50</v>
      </c>
      <c r="AJ15" s="9">
        <f t="shared" si="4"/>
        <v>0.6</v>
      </c>
      <c r="AK15" s="9">
        <v>0</v>
      </c>
      <c r="AL15" s="9">
        <v>0</v>
      </c>
      <c r="AM15" s="9">
        <v>0</v>
      </c>
      <c r="AN15" s="9">
        <v>0</v>
      </c>
      <c r="AO15" s="9">
        <f t="shared" si="5"/>
        <v>0</v>
      </c>
      <c r="AP15" s="9">
        <v>0</v>
      </c>
      <c r="AQ15" s="9">
        <f t="shared" si="6"/>
        <v>0.2</v>
      </c>
      <c r="AR15" s="9">
        <v>3</v>
      </c>
      <c r="AS15" s="9">
        <v>0</v>
      </c>
      <c r="AT15" s="9">
        <v>0</v>
      </c>
      <c r="AU15" s="9">
        <v>0</v>
      </c>
      <c r="AV15" s="9">
        <v>0</v>
      </c>
      <c r="AW15" s="9">
        <v>45</v>
      </c>
      <c r="AX15" s="9">
        <v>0.5</v>
      </c>
      <c r="AY15" s="9">
        <v>0</v>
      </c>
      <c r="AZ15" s="9">
        <f t="shared" si="24"/>
        <v>0</v>
      </c>
      <c r="BA15" s="9">
        <v>0</v>
      </c>
      <c r="BB15" s="9">
        <v>0</v>
      </c>
      <c r="BC15" s="9">
        <v>0</v>
      </c>
      <c r="BD15" s="9">
        <v>0</v>
      </c>
      <c r="BE15" s="9">
        <v>7.5</v>
      </c>
      <c r="BF15" s="9">
        <f t="shared" si="8"/>
        <v>0.4</v>
      </c>
      <c r="BG15" s="9">
        <f t="shared" si="9"/>
        <v>2</v>
      </c>
      <c r="BH15" s="9">
        <v>7</v>
      </c>
      <c r="BI15" s="9">
        <f t="shared" si="10"/>
        <v>0.3</v>
      </c>
      <c r="BJ15" s="9">
        <v>6</v>
      </c>
      <c r="BK15" s="9">
        <v>0.56999999999999995</v>
      </c>
      <c r="BL15" s="15">
        <v>8</v>
      </c>
      <c r="BM15" s="14">
        <v>0.67</v>
      </c>
      <c r="BN15" s="8">
        <v>0</v>
      </c>
      <c r="BO15" s="14">
        <v>0</v>
      </c>
      <c r="BP15" s="14">
        <f t="shared" si="11"/>
        <v>0.5</v>
      </c>
      <c r="BQ15" s="14">
        <v>0</v>
      </c>
      <c r="BR15" s="15">
        <v>0</v>
      </c>
      <c r="BS15" s="15">
        <f t="shared" si="12"/>
        <v>0.19400000000000001</v>
      </c>
      <c r="BT15" s="14">
        <v>0</v>
      </c>
      <c r="BU15" s="14">
        <v>0</v>
      </c>
      <c r="BV15" s="15">
        <v>42.55</v>
      </c>
      <c r="BW15" s="15">
        <v>5.0999999999999997E-2</v>
      </c>
      <c r="BX15" s="15">
        <f t="shared" si="13"/>
        <v>49</v>
      </c>
      <c r="BY15" s="14">
        <f t="shared" si="14"/>
        <v>0</v>
      </c>
      <c r="BZ15" s="14">
        <f t="shared" si="15"/>
        <v>0</v>
      </c>
      <c r="CA15" s="14">
        <f t="shared" si="16"/>
        <v>0</v>
      </c>
      <c r="CB15" s="14">
        <f t="shared" si="17"/>
        <v>49</v>
      </c>
      <c r="CC15" s="15">
        <f t="shared" si="18"/>
        <v>0.71899999999999997</v>
      </c>
      <c r="CD15" s="14">
        <f t="shared" si="19"/>
        <v>35.229999999999997</v>
      </c>
      <c r="CE15" s="14">
        <f t="shared" si="20"/>
        <v>0.95</v>
      </c>
      <c r="CF15" s="14">
        <f t="shared" si="21"/>
        <v>33.47</v>
      </c>
      <c r="CG15" s="14">
        <f t="shared" si="22"/>
        <v>69</v>
      </c>
    </row>
    <row r="16" spans="1:85" ht="13.2" x14ac:dyDescent="0.25">
      <c r="A16" s="8">
        <v>422108</v>
      </c>
      <c r="B16" s="9" t="s">
        <v>108</v>
      </c>
      <c r="C16" s="9" t="s">
        <v>86</v>
      </c>
      <c r="D16" s="9">
        <v>1</v>
      </c>
      <c r="E16" s="9">
        <v>0</v>
      </c>
      <c r="F16" s="9">
        <v>0</v>
      </c>
      <c r="G16" s="9">
        <v>0</v>
      </c>
      <c r="H16" s="10">
        <v>23</v>
      </c>
      <c r="I16" s="9">
        <v>23</v>
      </c>
      <c r="J16" s="11">
        <f t="shared" si="0"/>
        <v>0.6</v>
      </c>
      <c r="K16" s="10">
        <v>794</v>
      </c>
      <c r="L16" s="11">
        <v>0.3</v>
      </c>
      <c r="M16" s="11">
        <v>0</v>
      </c>
      <c r="N16" s="11" t="s">
        <v>90</v>
      </c>
      <c r="O16" s="11">
        <v>1</v>
      </c>
      <c r="P16" s="12" t="s">
        <v>88</v>
      </c>
      <c r="Q16" s="12">
        <v>0</v>
      </c>
      <c r="R16" s="9">
        <v>31</v>
      </c>
      <c r="S16" s="10">
        <v>82</v>
      </c>
      <c r="T16" s="10">
        <v>36.090000000000003</v>
      </c>
      <c r="U16" s="10">
        <f t="shared" si="1"/>
        <v>0.7</v>
      </c>
      <c r="V16" s="10">
        <v>127.24</v>
      </c>
      <c r="W16" s="10">
        <f t="shared" si="2"/>
        <v>0.5</v>
      </c>
      <c r="X16" s="10">
        <v>73</v>
      </c>
      <c r="Y16" s="10">
        <v>23</v>
      </c>
      <c r="Z16" s="10">
        <v>0</v>
      </c>
      <c r="AA16" s="10">
        <v>6</v>
      </c>
      <c r="AB16" s="9">
        <v>12.5</v>
      </c>
      <c r="AC16" s="9">
        <f t="shared" si="3"/>
        <v>3</v>
      </c>
      <c r="AD16" s="9">
        <v>2</v>
      </c>
      <c r="AE16" s="9">
        <v>0.7</v>
      </c>
      <c r="AF16" s="9">
        <v>1.7500000000000002E-2</v>
      </c>
      <c r="AG16" s="9">
        <v>7</v>
      </c>
      <c r="AH16" s="9">
        <v>0.13500000000000001</v>
      </c>
      <c r="AI16" s="13">
        <v>75</v>
      </c>
      <c r="AJ16" s="9">
        <f t="shared" si="4"/>
        <v>0.9</v>
      </c>
      <c r="AK16" s="9">
        <v>0</v>
      </c>
      <c r="AL16" s="9">
        <v>0</v>
      </c>
      <c r="AM16" s="9">
        <v>0</v>
      </c>
      <c r="AN16" s="9">
        <v>0</v>
      </c>
      <c r="AO16" s="9">
        <f t="shared" si="5"/>
        <v>0</v>
      </c>
      <c r="AP16" s="9">
        <v>0</v>
      </c>
      <c r="AQ16" s="9">
        <f t="shared" si="6"/>
        <v>0.4</v>
      </c>
      <c r="AR16" s="9">
        <v>4.5</v>
      </c>
      <c r="AS16" s="9">
        <v>0</v>
      </c>
      <c r="AT16" s="9">
        <v>0</v>
      </c>
      <c r="AU16" s="9">
        <v>0</v>
      </c>
      <c r="AV16" s="9">
        <v>0</v>
      </c>
      <c r="AW16" s="9">
        <v>37</v>
      </c>
      <c r="AX16" s="9">
        <v>0.4</v>
      </c>
      <c r="AY16" s="9">
        <v>0</v>
      </c>
      <c r="AZ16" s="9">
        <f t="shared" si="24"/>
        <v>0</v>
      </c>
      <c r="BA16" s="9">
        <v>0</v>
      </c>
      <c r="BB16" s="9">
        <v>0</v>
      </c>
      <c r="BC16" s="9">
        <v>0</v>
      </c>
      <c r="BD16" s="9">
        <v>0</v>
      </c>
      <c r="BE16" s="9">
        <v>7</v>
      </c>
      <c r="BF16" s="9">
        <f t="shared" si="8"/>
        <v>0.3</v>
      </c>
      <c r="BG16" s="9">
        <f t="shared" si="9"/>
        <v>1</v>
      </c>
      <c r="BH16" s="9">
        <v>6</v>
      </c>
      <c r="BI16" s="9">
        <f t="shared" si="10"/>
        <v>0</v>
      </c>
      <c r="BJ16" s="9">
        <v>8</v>
      </c>
      <c r="BK16" s="9">
        <v>0.86</v>
      </c>
      <c r="BL16" s="15">
        <v>7</v>
      </c>
      <c r="BM16" s="14">
        <v>0.33</v>
      </c>
      <c r="BN16" s="8">
        <v>0</v>
      </c>
      <c r="BO16" s="14">
        <v>0</v>
      </c>
      <c r="BP16" s="14">
        <f t="shared" si="11"/>
        <v>0.5</v>
      </c>
      <c r="BQ16" s="14">
        <v>0</v>
      </c>
      <c r="BR16" s="15">
        <v>0</v>
      </c>
      <c r="BS16" s="15">
        <f t="shared" si="12"/>
        <v>0.26700000000000002</v>
      </c>
      <c r="BT16" s="14">
        <v>0</v>
      </c>
      <c r="BU16" s="14">
        <v>0</v>
      </c>
      <c r="BV16" s="15">
        <v>54.7</v>
      </c>
      <c r="BW16" s="15">
        <v>6.5000000000000002E-2</v>
      </c>
      <c r="BX16" s="15">
        <f t="shared" si="13"/>
        <v>42.000000000000007</v>
      </c>
      <c r="BY16" s="14">
        <f t="shared" si="14"/>
        <v>0</v>
      </c>
      <c r="BZ16" s="14">
        <f t="shared" si="15"/>
        <v>0</v>
      </c>
      <c r="CA16" s="14">
        <f t="shared" si="16"/>
        <v>0</v>
      </c>
      <c r="CB16" s="14">
        <f t="shared" si="17"/>
        <v>42.000000000000007</v>
      </c>
      <c r="CC16" s="15">
        <f t="shared" si="18"/>
        <v>0.72699999999999998</v>
      </c>
      <c r="CD16" s="14">
        <f t="shared" si="19"/>
        <v>30.53</v>
      </c>
      <c r="CE16" s="14">
        <f t="shared" si="20"/>
        <v>0.9</v>
      </c>
      <c r="CF16" s="14">
        <f t="shared" si="21"/>
        <v>27.48</v>
      </c>
      <c r="CG16" s="14">
        <f t="shared" si="22"/>
        <v>116</v>
      </c>
    </row>
    <row r="17" spans="1:85" ht="13.2" x14ac:dyDescent="0.25">
      <c r="A17" s="8">
        <v>318845</v>
      </c>
      <c r="B17" s="9" t="s">
        <v>109</v>
      </c>
      <c r="C17" s="9" t="s">
        <v>86</v>
      </c>
      <c r="D17" s="9">
        <v>1</v>
      </c>
      <c r="E17" s="9">
        <v>0</v>
      </c>
      <c r="F17" s="9">
        <v>0</v>
      </c>
      <c r="G17" s="9">
        <v>0</v>
      </c>
      <c r="H17" s="10">
        <v>17</v>
      </c>
      <c r="I17" s="9">
        <v>17</v>
      </c>
      <c r="J17" s="11">
        <f t="shared" si="0"/>
        <v>0.3</v>
      </c>
      <c r="K17" s="10">
        <v>420</v>
      </c>
      <c r="L17" s="11">
        <v>0.3</v>
      </c>
      <c r="M17" s="11">
        <v>0</v>
      </c>
      <c r="N17" s="11" t="s">
        <v>90</v>
      </c>
      <c r="O17" s="11">
        <v>2</v>
      </c>
      <c r="P17" s="12" t="s">
        <v>101</v>
      </c>
      <c r="Q17" s="12">
        <v>1</v>
      </c>
      <c r="R17" s="9">
        <v>34</v>
      </c>
      <c r="S17" s="10">
        <v>82</v>
      </c>
      <c r="T17" s="10">
        <v>28</v>
      </c>
      <c r="U17" s="10">
        <f t="shared" si="1"/>
        <v>0.5</v>
      </c>
      <c r="V17" s="10">
        <v>163.41999999999999</v>
      </c>
      <c r="W17" s="10">
        <f t="shared" si="2"/>
        <v>0.7</v>
      </c>
      <c r="X17" s="10">
        <v>42</v>
      </c>
      <c r="Y17" s="10">
        <v>22</v>
      </c>
      <c r="Z17" s="10">
        <v>0</v>
      </c>
      <c r="AA17" s="10">
        <v>2</v>
      </c>
      <c r="AB17" s="9">
        <v>12.5</v>
      </c>
      <c r="AC17" s="9">
        <f t="shared" si="3"/>
        <v>3</v>
      </c>
      <c r="AD17" s="9">
        <v>2</v>
      </c>
      <c r="AE17" s="9">
        <v>0.6</v>
      </c>
      <c r="AF17" s="9">
        <v>1.4999999999999999E-2</v>
      </c>
      <c r="AG17" s="9">
        <v>6.5</v>
      </c>
      <c r="AH17" s="9">
        <v>0.121</v>
      </c>
      <c r="AI17" s="13">
        <v>65</v>
      </c>
      <c r="AJ17" s="9">
        <f t="shared" si="4"/>
        <v>0.8</v>
      </c>
      <c r="AK17" s="9">
        <v>0</v>
      </c>
      <c r="AL17" s="9">
        <v>0</v>
      </c>
      <c r="AM17" s="9">
        <v>0</v>
      </c>
      <c r="AN17" s="9">
        <v>0</v>
      </c>
      <c r="AO17" s="9">
        <f t="shared" si="5"/>
        <v>0</v>
      </c>
      <c r="AP17" s="9">
        <v>0</v>
      </c>
      <c r="AQ17" s="9">
        <f t="shared" si="6"/>
        <v>0.5</v>
      </c>
      <c r="AR17" s="9">
        <v>5</v>
      </c>
      <c r="AS17" s="9">
        <v>0</v>
      </c>
      <c r="AT17" s="9">
        <v>0</v>
      </c>
      <c r="AU17" s="9">
        <v>0</v>
      </c>
      <c r="AV17" s="9">
        <v>0</v>
      </c>
      <c r="AW17" s="9">
        <v>50</v>
      </c>
      <c r="AX17" s="9">
        <v>0.5</v>
      </c>
      <c r="AY17" s="9">
        <v>0</v>
      </c>
      <c r="AZ17" s="9">
        <f t="shared" si="24"/>
        <v>0</v>
      </c>
      <c r="BA17" s="9">
        <v>0</v>
      </c>
      <c r="BB17" s="9">
        <v>0</v>
      </c>
      <c r="BC17" s="9">
        <v>0</v>
      </c>
      <c r="BD17" s="9">
        <v>0</v>
      </c>
      <c r="BE17" s="9">
        <v>6.5</v>
      </c>
      <c r="BF17" s="9">
        <f t="shared" si="8"/>
        <v>0.1</v>
      </c>
      <c r="BG17" s="9">
        <f t="shared" si="9"/>
        <v>1</v>
      </c>
      <c r="BH17" s="9">
        <v>6</v>
      </c>
      <c r="BI17" s="9">
        <f t="shared" si="10"/>
        <v>0</v>
      </c>
      <c r="BJ17" s="9">
        <v>7</v>
      </c>
      <c r="BK17" s="9">
        <v>0.71</v>
      </c>
      <c r="BL17" s="15">
        <v>7</v>
      </c>
      <c r="BM17" s="14">
        <v>0.33</v>
      </c>
      <c r="BN17" s="8">
        <v>0</v>
      </c>
      <c r="BO17" s="14">
        <v>0</v>
      </c>
      <c r="BP17" s="14">
        <f t="shared" si="11"/>
        <v>0.5</v>
      </c>
      <c r="BQ17" s="14">
        <v>0</v>
      </c>
      <c r="BR17" s="15">
        <v>0</v>
      </c>
      <c r="BS17" s="15">
        <f t="shared" si="12"/>
        <v>0.23900000000000002</v>
      </c>
      <c r="BT17" s="14">
        <v>0</v>
      </c>
      <c r="BU17" s="14">
        <v>0</v>
      </c>
      <c r="BV17" s="15">
        <v>47.85</v>
      </c>
      <c r="BW17" s="15">
        <v>5.7000000000000002E-2</v>
      </c>
      <c r="BX17" s="15">
        <f t="shared" si="13"/>
        <v>44</v>
      </c>
      <c r="BY17" s="14">
        <f t="shared" si="14"/>
        <v>0</v>
      </c>
      <c r="BZ17" s="14">
        <f t="shared" si="15"/>
        <v>0</v>
      </c>
      <c r="CA17" s="14">
        <f t="shared" si="16"/>
        <v>0</v>
      </c>
      <c r="CB17" s="14">
        <f t="shared" si="17"/>
        <v>44</v>
      </c>
      <c r="CC17" s="15">
        <f t="shared" si="18"/>
        <v>0.72399999999999998</v>
      </c>
      <c r="CD17" s="14">
        <f t="shared" si="19"/>
        <v>31.86</v>
      </c>
      <c r="CE17" s="14">
        <f t="shared" si="20"/>
        <v>0.875</v>
      </c>
      <c r="CF17" s="14">
        <f t="shared" si="21"/>
        <v>27.88</v>
      </c>
      <c r="CG17" s="14">
        <f t="shared" si="22"/>
        <v>113</v>
      </c>
    </row>
    <row r="18" spans="1:85" ht="13.2" x14ac:dyDescent="0.25">
      <c r="A18" s="8">
        <v>1070183</v>
      </c>
      <c r="B18" s="9" t="s">
        <v>110</v>
      </c>
      <c r="C18" s="9" t="s">
        <v>86</v>
      </c>
      <c r="D18" s="9">
        <v>1</v>
      </c>
      <c r="E18" s="9">
        <v>0</v>
      </c>
      <c r="F18" s="9">
        <v>0</v>
      </c>
      <c r="G18" s="9">
        <v>1</v>
      </c>
      <c r="H18" s="10">
        <v>31</v>
      </c>
      <c r="I18" s="9">
        <v>31</v>
      </c>
      <c r="J18" s="11">
        <f t="shared" si="0"/>
        <v>0.7</v>
      </c>
      <c r="K18" s="10">
        <v>930</v>
      </c>
      <c r="L18" s="11">
        <v>0.4</v>
      </c>
      <c r="M18" s="11">
        <v>0</v>
      </c>
      <c r="N18" s="11" t="s">
        <v>90</v>
      </c>
      <c r="O18" s="11">
        <v>2</v>
      </c>
      <c r="P18" s="12" t="s">
        <v>88</v>
      </c>
      <c r="Q18" s="12">
        <v>0</v>
      </c>
      <c r="R18" s="9">
        <v>29</v>
      </c>
      <c r="S18" s="10">
        <v>86</v>
      </c>
      <c r="T18" s="10">
        <v>37.200000000000003</v>
      </c>
      <c r="U18" s="10">
        <f t="shared" si="1"/>
        <v>0.7</v>
      </c>
      <c r="V18" s="10">
        <v>151.47</v>
      </c>
      <c r="W18" s="10">
        <f t="shared" si="2"/>
        <v>0.6</v>
      </c>
      <c r="X18" s="10">
        <v>48</v>
      </c>
      <c r="Y18" s="10">
        <v>50</v>
      </c>
      <c r="Z18" s="10">
        <v>0</v>
      </c>
      <c r="AA18" s="10">
        <v>8</v>
      </c>
      <c r="AB18" s="9">
        <v>12.5</v>
      </c>
      <c r="AC18" s="9">
        <f t="shared" si="3"/>
        <v>3</v>
      </c>
      <c r="AD18" s="9">
        <v>0</v>
      </c>
      <c r="AE18" s="9">
        <v>0.6</v>
      </c>
      <c r="AF18" s="9">
        <v>1.4999999999999999E-2</v>
      </c>
      <c r="AG18" s="9">
        <v>8</v>
      </c>
      <c r="AH18" s="9">
        <v>0.2</v>
      </c>
      <c r="AI18" s="13">
        <v>70</v>
      </c>
      <c r="AJ18" s="9">
        <f t="shared" si="4"/>
        <v>0.8</v>
      </c>
      <c r="AK18" s="9">
        <v>1</v>
      </c>
      <c r="AL18" s="9">
        <v>0</v>
      </c>
      <c r="AM18" s="9">
        <v>0</v>
      </c>
      <c r="AN18" s="9">
        <v>0</v>
      </c>
      <c r="AO18" s="9">
        <f t="shared" si="5"/>
        <v>0</v>
      </c>
      <c r="AP18" s="9">
        <v>0</v>
      </c>
      <c r="AQ18" s="9">
        <f t="shared" si="6"/>
        <v>0.3</v>
      </c>
      <c r="AR18" s="9">
        <v>4</v>
      </c>
      <c r="AS18" s="9">
        <v>0</v>
      </c>
      <c r="AT18" s="9">
        <v>0</v>
      </c>
      <c r="AU18" s="9">
        <v>0</v>
      </c>
      <c r="AV18" s="9">
        <v>0</v>
      </c>
      <c r="AW18" s="9">
        <v>48</v>
      </c>
      <c r="AX18" s="9">
        <v>0.5</v>
      </c>
      <c r="AY18" s="9">
        <v>9</v>
      </c>
      <c r="AZ18" s="9">
        <v>0.56000000000000005</v>
      </c>
      <c r="BA18" s="9">
        <v>11</v>
      </c>
      <c r="BB18" s="9">
        <v>0.23</v>
      </c>
      <c r="BC18" s="9">
        <v>0</v>
      </c>
      <c r="BD18" s="9">
        <v>0</v>
      </c>
      <c r="BE18" s="9">
        <v>8</v>
      </c>
      <c r="BF18" s="9">
        <f t="shared" si="8"/>
        <v>0.5</v>
      </c>
      <c r="BG18" s="9">
        <f t="shared" si="9"/>
        <v>3</v>
      </c>
      <c r="BH18" s="9">
        <v>6</v>
      </c>
      <c r="BI18" s="9">
        <f t="shared" si="10"/>
        <v>0</v>
      </c>
      <c r="BJ18" s="9">
        <v>8</v>
      </c>
      <c r="BK18" s="9">
        <v>0.86</v>
      </c>
      <c r="BL18" s="15">
        <v>6</v>
      </c>
      <c r="BM18" s="14">
        <v>0</v>
      </c>
      <c r="BN18" s="8">
        <v>0</v>
      </c>
      <c r="BO18" s="14">
        <v>0.4</v>
      </c>
      <c r="BP18" s="14">
        <f t="shared" si="11"/>
        <v>0.6</v>
      </c>
      <c r="BQ18" s="14">
        <v>0</v>
      </c>
      <c r="BR18" s="15">
        <v>0.72</v>
      </c>
      <c r="BS18" s="15">
        <f t="shared" si="12"/>
        <v>8.8480000000000003E-2</v>
      </c>
      <c r="BT18" s="14">
        <v>0</v>
      </c>
      <c r="BU18" s="14">
        <v>0</v>
      </c>
      <c r="BV18" s="15">
        <v>62.8</v>
      </c>
      <c r="BW18" s="15">
        <v>7.2999999999999995E-2</v>
      </c>
      <c r="BX18" s="15">
        <f t="shared" si="13"/>
        <v>52.999999999999993</v>
      </c>
      <c r="BY18" s="14">
        <f t="shared" si="14"/>
        <v>0</v>
      </c>
      <c r="BZ18" s="14">
        <f t="shared" si="15"/>
        <v>0</v>
      </c>
      <c r="CA18" s="14">
        <f t="shared" si="16"/>
        <v>43.25</v>
      </c>
      <c r="CB18" s="14">
        <f t="shared" si="17"/>
        <v>96.25</v>
      </c>
      <c r="CC18" s="15">
        <f t="shared" si="18"/>
        <v>0.85299999999999998</v>
      </c>
      <c r="CD18" s="14">
        <f t="shared" si="19"/>
        <v>82.1</v>
      </c>
      <c r="CE18" s="14">
        <f t="shared" si="20"/>
        <v>0.89500000000000002</v>
      </c>
      <c r="CF18" s="14">
        <f t="shared" si="21"/>
        <v>73.48</v>
      </c>
      <c r="CG18" s="14">
        <f t="shared" si="22"/>
        <v>15</v>
      </c>
    </row>
    <row r="19" spans="1:85" ht="13.2" x14ac:dyDescent="0.25">
      <c r="A19" s="8">
        <v>1159186</v>
      </c>
      <c r="B19" s="9" t="s">
        <v>111</v>
      </c>
      <c r="C19" s="9" t="s">
        <v>86</v>
      </c>
      <c r="D19" s="9">
        <v>1</v>
      </c>
      <c r="E19" s="9">
        <v>0</v>
      </c>
      <c r="F19" s="9">
        <v>0</v>
      </c>
      <c r="G19" s="9">
        <v>0</v>
      </c>
      <c r="H19" s="10">
        <v>24</v>
      </c>
      <c r="I19" s="9">
        <v>24</v>
      </c>
      <c r="J19" s="11">
        <f t="shared" si="0"/>
        <v>0.5</v>
      </c>
      <c r="K19" s="10">
        <v>759</v>
      </c>
      <c r="L19" s="11">
        <v>0.4</v>
      </c>
      <c r="M19" s="11">
        <v>0</v>
      </c>
      <c r="N19" s="11" t="s">
        <v>90</v>
      </c>
      <c r="O19" s="11">
        <v>2</v>
      </c>
      <c r="P19" s="12" t="s">
        <v>88</v>
      </c>
      <c r="Q19" s="12">
        <v>0</v>
      </c>
      <c r="R19" s="9">
        <v>21</v>
      </c>
      <c r="S19" s="10">
        <v>84</v>
      </c>
      <c r="T19" s="10">
        <v>42.17</v>
      </c>
      <c r="U19" s="10">
        <f t="shared" si="1"/>
        <v>0.8</v>
      </c>
      <c r="V19" s="10">
        <v>155.85</v>
      </c>
      <c r="W19" s="10">
        <f t="shared" si="2"/>
        <v>0.6</v>
      </c>
      <c r="X19" s="10">
        <v>61</v>
      </c>
      <c r="Y19" s="10">
        <v>42</v>
      </c>
      <c r="Z19" s="10">
        <v>0</v>
      </c>
      <c r="AA19" s="10">
        <v>4</v>
      </c>
      <c r="AB19" s="9">
        <v>11.75</v>
      </c>
      <c r="AC19" s="9">
        <f t="shared" si="3"/>
        <v>3</v>
      </c>
      <c r="AD19" s="9">
        <v>0.5</v>
      </c>
      <c r="AE19" s="9">
        <v>0.6</v>
      </c>
      <c r="AF19" s="9">
        <v>1.4999999999999999E-2</v>
      </c>
      <c r="AG19" s="9">
        <v>7.5</v>
      </c>
      <c r="AH19" s="9">
        <v>1.9E-2</v>
      </c>
      <c r="AI19" s="13">
        <v>60</v>
      </c>
      <c r="AJ19" s="9">
        <f t="shared" si="4"/>
        <v>0.7</v>
      </c>
      <c r="AK19" s="9">
        <v>0</v>
      </c>
      <c r="AL19" s="9">
        <v>0</v>
      </c>
      <c r="AM19" s="9">
        <v>0</v>
      </c>
      <c r="AN19" s="9">
        <v>0</v>
      </c>
      <c r="AO19" s="9">
        <f t="shared" si="5"/>
        <v>0</v>
      </c>
      <c r="AP19" s="9">
        <v>0</v>
      </c>
      <c r="AQ19" s="9">
        <f t="shared" si="6"/>
        <v>0.1</v>
      </c>
      <c r="AR19" s="9">
        <v>2.5</v>
      </c>
      <c r="AS19" s="9">
        <v>0</v>
      </c>
      <c r="AT19" s="9">
        <v>0</v>
      </c>
      <c r="AU19" s="9">
        <v>0</v>
      </c>
      <c r="AV19" s="9">
        <v>0</v>
      </c>
      <c r="AW19" s="9">
        <v>33</v>
      </c>
      <c r="AX19" s="9">
        <v>0.3</v>
      </c>
      <c r="AY19" s="9">
        <v>0</v>
      </c>
      <c r="AZ19" s="9">
        <f t="shared" ref="AZ19:AZ30" si="25">(AP19 - MIN($AP$2:$AP$964)) / (MAX($AP$2:$AP$964) - MIN($AP$2:$AP$964))</f>
        <v>0</v>
      </c>
      <c r="BA19" s="9">
        <v>0</v>
      </c>
      <c r="BB19" s="9">
        <v>0</v>
      </c>
      <c r="BC19" s="9">
        <v>0</v>
      </c>
      <c r="BD19" s="9">
        <v>0</v>
      </c>
      <c r="BE19" s="9">
        <v>7.5</v>
      </c>
      <c r="BF19" s="9">
        <f t="shared" si="8"/>
        <v>0.4</v>
      </c>
      <c r="BG19" s="9">
        <f t="shared" si="9"/>
        <v>1</v>
      </c>
      <c r="BH19" s="9">
        <v>6</v>
      </c>
      <c r="BI19" s="9">
        <f t="shared" si="10"/>
        <v>0</v>
      </c>
      <c r="BJ19" s="9">
        <v>8</v>
      </c>
      <c r="BK19" s="9">
        <v>0.86</v>
      </c>
      <c r="BL19" s="15">
        <v>8</v>
      </c>
      <c r="BM19" s="14">
        <v>0.67</v>
      </c>
      <c r="BN19" s="8">
        <v>0</v>
      </c>
      <c r="BO19" s="14">
        <v>0</v>
      </c>
      <c r="BP19" s="14">
        <f t="shared" si="11"/>
        <v>0.5</v>
      </c>
      <c r="BQ19" s="14">
        <v>0</v>
      </c>
      <c r="BR19" s="15">
        <v>0.61</v>
      </c>
      <c r="BS19" s="15">
        <f t="shared" si="12"/>
        <v>0.11544000000000001</v>
      </c>
      <c r="BT19" s="14">
        <v>0</v>
      </c>
      <c r="BU19" s="14">
        <v>0</v>
      </c>
      <c r="BV19" s="15">
        <v>49</v>
      </c>
      <c r="BW19" s="15">
        <v>5.8000000000000003E-2</v>
      </c>
      <c r="BX19" s="15">
        <f t="shared" si="13"/>
        <v>46.000000000000007</v>
      </c>
      <c r="BY19" s="14">
        <f t="shared" si="14"/>
        <v>0</v>
      </c>
      <c r="BZ19" s="14">
        <f t="shared" si="15"/>
        <v>0</v>
      </c>
      <c r="CA19" s="14">
        <f t="shared" si="16"/>
        <v>0</v>
      </c>
      <c r="CB19" s="14">
        <f t="shared" si="17"/>
        <v>46.000000000000007</v>
      </c>
      <c r="CC19" s="15">
        <f t="shared" si="18"/>
        <v>0.83399999999999996</v>
      </c>
      <c r="CD19" s="14">
        <f t="shared" si="19"/>
        <v>38.36</v>
      </c>
      <c r="CE19" s="14">
        <f t="shared" si="20"/>
        <v>0.97499999999999998</v>
      </c>
      <c r="CF19" s="14">
        <f t="shared" si="21"/>
        <v>37.4</v>
      </c>
      <c r="CG19" s="14">
        <f t="shared" si="22"/>
        <v>52</v>
      </c>
    </row>
    <row r="20" spans="1:85" ht="13.2" x14ac:dyDescent="0.25">
      <c r="A20" s="8">
        <v>1168045</v>
      </c>
      <c r="B20" s="9" t="s">
        <v>112</v>
      </c>
      <c r="C20" s="9" t="s">
        <v>86</v>
      </c>
      <c r="D20" s="9">
        <v>1</v>
      </c>
      <c r="E20" s="9">
        <v>0</v>
      </c>
      <c r="F20" s="9">
        <v>0</v>
      </c>
      <c r="G20" s="9">
        <v>0</v>
      </c>
      <c r="H20" s="10">
        <v>29</v>
      </c>
      <c r="I20" s="9">
        <v>29</v>
      </c>
      <c r="J20" s="11">
        <f t="shared" si="0"/>
        <v>0.6</v>
      </c>
      <c r="K20" s="10">
        <v>796</v>
      </c>
      <c r="L20" s="11">
        <v>0.4</v>
      </c>
      <c r="M20" s="11">
        <v>0</v>
      </c>
      <c r="N20" s="11" t="s">
        <v>96</v>
      </c>
      <c r="O20" s="11">
        <v>3</v>
      </c>
      <c r="P20" s="12" t="s">
        <v>103</v>
      </c>
      <c r="Q20" s="12">
        <v>1</v>
      </c>
      <c r="R20" s="9">
        <v>34</v>
      </c>
      <c r="S20" s="10">
        <v>124</v>
      </c>
      <c r="T20" s="10">
        <v>31.84</v>
      </c>
      <c r="U20" s="10">
        <f t="shared" si="1"/>
        <v>0.6</v>
      </c>
      <c r="V20" s="10">
        <v>148.79</v>
      </c>
      <c r="W20" s="10">
        <f t="shared" si="2"/>
        <v>0.6</v>
      </c>
      <c r="X20" s="10">
        <v>67</v>
      </c>
      <c r="Y20" s="10">
        <v>43</v>
      </c>
      <c r="Z20" s="10">
        <v>1</v>
      </c>
      <c r="AA20" s="10">
        <v>5</v>
      </c>
      <c r="AB20" s="9">
        <v>11</v>
      </c>
      <c r="AC20" s="9">
        <f t="shared" si="3"/>
        <v>3</v>
      </c>
      <c r="AD20" s="9">
        <v>2</v>
      </c>
      <c r="AE20" s="9">
        <v>0.7</v>
      </c>
      <c r="AF20" s="9">
        <v>1.7500000000000002E-2</v>
      </c>
      <c r="AG20" s="9">
        <v>8</v>
      </c>
      <c r="AH20" s="9">
        <v>0.25</v>
      </c>
      <c r="AI20" s="13">
        <v>65</v>
      </c>
      <c r="AJ20" s="9">
        <f t="shared" si="4"/>
        <v>0.8</v>
      </c>
      <c r="AK20" s="9">
        <v>0</v>
      </c>
      <c r="AL20" s="9">
        <v>0</v>
      </c>
      <c r="AM20" s="9">
        <v>0</v>
      </c>
      <c r="AN20" s="9">
        <v>0</v>
      </c>
      <c r="AO20" s="9">
        <f t="shared" si="5"/>
        <v>0</v>
      </c>
      <c r="AP20" s="9">
        <v>0</v>
      </c>
      <c r="AQ20" s="9">
        <f t="shared" si="6"/>
        <v>0.6</v>
      </c>
      <c r="AR20" s="9">
        <v>5.5</v>
      </c>
      <c r="AS20" s="9">
        <v>0</v>
      </c>
      <c r="AT20" s="9">
        <v>0</v>
      </c>
      <c r="AU20" s="9">
        <v>0</v>
      </c>
      <c r="AV20" s="9">
        <v>0</v>
      </c>
      <c r="AW20" s="9">
        <v>42</v>
      </c>
      <c r="AX20" s="9">
        <v>0.4</v>
      </c>
      <c r="AY20" s="9">
        <v>0</v>
      </c>
      <c r="AZ20" s="9">
        <f t="shared" si="25"/>
        <v>0</v>
      </c>
      <c r="BA20" s="9">
        <v>0</v>
      </c>
      <c r="BB20" s="9">
        <v>0</v>
      </c>
      <c r="BC20" s="9">
        <v>0</v>
      </c>
      <c r="BD20" s="9">
        <v>0</v>
      </c>
      <c r="BE20" s="9">
        <v>8</v>
      </c>
      <c r="BF20" s="9">
        <f t="shared" si="8"/>
        <v>0.5</v>
      </c>
      <c r="BG20" s="9">
        <f t="shared" si="9"/>
        <v>1</v>
      </c>
      <c r="BH20" s="9">
        <v>7</v>
      </c>
      <c r="BI20" s="9">
        <f t="shared" si="10"/>
        <v>0.3</v>
      </c>
      <c r="BJ20" s="9">
        <v>7</v>
      </c>
      <c r="BK20" s="9">
        <v>0.71</v>
      </c>
      <c r="BL20" s="15">
        <v>7</v>
      </c>
      <c r="BM20" s="14">
        <v>0.33</v>
      </c>
      <c r="BN20" s="8">
        <v>0</v>
      </c>
      <c r="BO20" s="14">
        <v>0</v>
      </c>
      <c r="BP20" s="14">
        <f t="shared" si="11"/>
        <v>0.5</v>
      </c>
      <c r="BQ20" s="14">
        <v>0</v>
      </c>
      <c r="BR20" s="15">
        <v>0</v>
      </c>
      <c r="BS20" s="15">
        <f t="shared" si="12"/>
        <v>0.316</v>
      </c>
      <c r="BT20" s="14">
        <v>0</v>
      </c>
      <c r="BU20" s="14">
        <v>0</v>
      </c>
      <c r="BV20" s="15">
        <v>53.55</v>
      </c>
      <c r="BW20" s="15">
        <v>6.3E-2</v>
      </c>
      <c r="BX20" s="15">
        <f t="shared" si="13"/>
        <v>48.000000000000007</v>
      </c>
      <c r="BY20" s="14">
        <f t="shared" si="14"/>
        <v>0</v>
      </c>
      <c r="BZ20" s="14">
        <f t="shared" si="15"/>
        <v>0</v>
      </c>
      <c r="CA20" s="14">
        <f t="shared" si="16"/>
        <v>0</v>
      </c>
      <c r="CB20" s="14">
        <f t="shared" si="17"/>
        <v>48.000000000000007</v>
      </c>
      <c r="CC20" s="15">
        <f t="shared" si="18"/>
        <v>0.73199999999999998</v>
      </c>
      <c r="CD20" s="14">
        <f t="shared" si="19"/>
        <v>35.14</v>
      </c>
      <c r="CE20" s="14">
        <f t="shared" si="20"/>
        <v>0.85</v>
      </c>
      <c r="CF20" s="14">
        <f t="shared" si="21"/>
        <v>29.87</v>
      </c>
      <c r="CG20" s="14">
        <f t="shared" si="22"/>
        <v>97</v>
      </c>
    </row>
    <row r="21" spans="1:85" ht="13.2" x14ac:dyDescent="0.25">
      <c r="A21" s="8">
        <v>714451</v>
      </c>
      <c r="B21" s="9" t="s">
        <v>113</v>
      </c>
      <c r="C21" s="9" t="s">
        <v>86</v>
      </c>
      <c r="D21" s="9">
        <v>1</v>
      </c>
      <c r="E21" s="9">
        <v>0</v>
      </c>
      <c r="F21" s="9">
        <v>0</v>
      </c>
      <c r="G21" s="9">
        <v>0</v>
      </c>
      <c r="H21" s="10">
        <v>28</v>
      </c>
      <c r="I21" s="9">
        <v>27</v>
      </c>
      <c r="J21" s="11">
        <f t="shared" si="0"/>
        <v>0.6</v>
      </c>
      <c r="K21" s="10">
        <v>814</v>
      </c>
      <c r="L21" s="11">
        <v>0.1</v>
      </c>
      <c r="M21" s="11">
        <v>0</v>
      </c>
      <c r="N21" s="11" t="s">
        <v>90</v>
      </c>
      <c r="O21" s="11">
        <v>3</v>
      </c>
      <c r="P21" s="12" t="s">
        <v>88</v>
      </c>
      <c r="Q21" s="12">
        <v>0</v>
      </c>
      <c r="R21" s="9">
        <v>28</v>
      </c>
      <c r="S21" s="10">
        <v>66</v>
      </c>
      <c r="T21" s="10">
        <v>37</v>
      </c>
      <c r="U21" s="10">
        <f t="shared" si="1"/>
        <v>0.7</v>
      </c>
      <c r="V21" s="10">
        <v>160.24</v>
      </c>
      <c r="W21" s="10">
        <f t="shared" si="2"/>
        <v>0.7</v>
      </c>
      <c r="X21" s="10">
        <v>40</v>
      </c>
      <c r="Y21" s="10">
        <v>63</v>
      </c>
      <c r="Z21" s="10">
        <v>0</v>
      </c>
      <c r="AA21" s="10">
        <v>6</v>
      </c>
      <c r="AB21" s="9">
        <v>4</v>
      </c>
      <c r="AC21" s="9">
        <f t="shared" si="3"/>
        <v>3</v>
      </c>
      <c r="AD21" s="9">
        <v>0.5</v>
      </c>
      <c r="AE21" s="9">
        <v>0.6</v>
      </c>
      <c r="AF21" s="9">
        <v>1.4999999999999999E-2</v>
      </c>
      <c r="AG21" s="9">
        <v>8</v>
      </c>
      <c r="AH21" s="9">
        <v>1</v>
      </c>
      <c r="AI21" s="13">
        <v>55</v>
      </c>
      <c r="AJ21" s="9">
        <f t="shared" si="4"/>
        <v>0.6</v>
      </c>
      <c r="AK21" s="9">
        <v>0</v>
      </c>
      <c r="AL21" s="9">
        <v>0</v>
      </c>
      <c r="AM21" s="9">
        <v>0</v>
      </c>
      <c r="AN21" s="9">
        <v>0</v>
      </c>
      <c r="AO21" s="9">
        <f t="shared" si="5"/>
        <v>0</v>
      </c>
      <c r="AP21" s="9">
        <v>0</v>
      </c>
      <c r="AQ21" s="9">
        <f t="shared" si="6"/>
        <v>0.4</v>
      </c>
      <c r="AR21" s="9">
        <v>4.5</v>
      </c>
      <c r="AS21" s="9">
        <v>0</v>
      </c>
      <c r="AT21" s="9">
        <v>0</v>
      </c>
      <c r="AU21" s="9">
        <v>0</v>
      </c>
      <c r="AV21" s="9">
        <v>0</v>
      </c>
      <c r="AW21" s="9">
        <v>40</v>
      </c>
      <c r="AX21" s="9">
        <v>0.4</v>
      </c>
      <c r="AY21" s="9">
        <v>0</v>
      </c>
      <c r="AZ21" s="9">
        <f t="shared" si="25"/>
        <v>0</v>
      </c>
      <c r="BA21" s="9">
        <v>0</v>
      </c>
      <c r="BB21" s="9">
        <v>0</v>
      </c>
      <c r="BC21" s="9">
        <v>0</v>
      </c>
      <c r="BD21" s="9">
        <v>0</v>
      </c>
      <c r="BE21" s="9">
        <v>8</v>
      </c>
      <c r="BF21" s="9">
        <f t="shared" si="8"/>
        <v>0.5</v>
      </c>
      <c r="BG21" s="9">
        <f t="shared" si="9"/>
        <v>3</v>
      </c>
      <c r="BH21" s="9">
        <v>6</v>
      </c>
      <c r="BI21" s="9">
        <f t="shared" si="10"/>
        <v>0</v>
      </c>
      <c r="BJ21" s="9">
        <v>8</v>
      </c>
      <c r="BK21" s="9">
        <v>0.86</v>
      </c>
      <c r="BL21" s="15">
        <v>8</v>
      </c>
      <c r="BM21" s="14">
        <v>0.67</v>
      </c>
      <c r="BN21" s="8">
        <v>0</v>
      </c>
      <c r="BO21" s="14">
        <v>0</v>
      </c>
      <c r="BP21" s="14">
        <f t="shared" si="11"/>
        <v>0.5</v>
      </c>
      <c r="BQ21" s="14">
        <v>0</v>
      </c>
      <c r="BR21" s="15">
        <v>0.69</v>
      </c>
      <c r="BS21" s="15">
        <f t="shared" si="12"/>
        <v>4.8670000000000012E-2</v>
      </c>
      <c r="BT21" s="14">
        <v>0</v>
      </c>
      <c r="BU21" s="14">
        <v>0</v>
      </c>
      <c r="BV21" s="15">
        <v>51.3</v>
      </c>
      <c r="BW21" s="15">
        <v>6.0999999999999999E-2</v>
      </c>
      <c r="BX21" s="15">
        <f t="shared" si="13"/>
        <v>42</v>
      </c>
      <c r="BY21" s="14">
        <f t="shared" si="14"/>
        <v>0</v>
      </c>
      <c r="BZ21" s="14">
        <f t="shared" si="15"/>
        <v>0</v>
      </c>
      <c r="CA21" s="14">
        <f t="shared" si="16"/>
        <v>0</v>
      </c>
      <c r="CB21" s="14">
        <f t="shared" si="17"/>
        <v>42</v>
      </c>
      <c r="CC21" s="15">
        <f t="shared" si="18"/>
        <v>0.84299999999999997</v>
      </c>
      <c r="CD21" s="14">
        <f t="shared" si="19"/>
        <v>35.409999999999997</v>
      </c>
      <c r="CE21" s="14">
        <f t="shared" si="20"/>
        <v>0.9</v>
      </c>
      <c r="CF21" s="14">
        <f t="shared" si="21"/>
        <v>31.87</v>
      </c>
      <c r="CG21" s="14">
        <f t="shared" si="22"/>
        <v>80</v>
      </c>
    </row>
    <row r="22" spans="1:85" ht="13.2" x14ac:dyDescent="0.25">
      <c r="A22" s="8">
        <v>308967</v>
      </c>
      <c r="B22" s="9" t="s">
        <v>114</v>
      </c>
      <c r="C22" s="9" t="s">
        <v>86</v>
      </c>
      <c r="D22" s="9">
        <v>1</v>
      </c>
      <c r="E22" s="9">
        <v>0</v>
      </c>
      <c r="F22" s="9">
        <v>0</v>
      </c>
      <c r="G22" s="9">
        <v>0</v>
      </c>
      <c r="H22" s="10">
        <v>27</v>
      </c>
      <c r="I22" s="9">
        <v>28</v>
      </c>
      <c r="J22" s="11">
        <f t="shared" si="0"/>
        <v>0.6</v>
      </c>
      <c r="K22" s="10">
        <v>896</v>
      </c>
      <c r="L22" s="11">
        <v>0.4</v>
      </c>
      <c r="M22" s="11">
        <v>0</v>
      </c>
      <c r="N22" s="11" t="s">
        <v>96</v>
      </c>
      <c r="O22" s="11">
        <v>1</v>
      </c>
      <c r="P22" s="12" t="s">
        <v>94</v>
      </c>
      <c r="Q22" s="12">
        <v>1</v>
      </c>
      <c r="R22" s="9">
        <v>33</v>
      </c>
      <c r="S22" s="10">
        <v>107</v>
      </c>
      <c r="T22" s="10">
        <v>37.33</v>
      </c>
      <c r="U22" s="10">
        <f t="shared" si="1"/>
        <v>0.7</v>
      </c>
      <c r="V22" s="10">
        <v>141.77000000000001</v>
      </c>
      <c r="W22" s="10">
        <f t="shared" si="2"/>
        <v>0.6</v>
      </c>
      <c r="X22" s="10">
        <v>93</v>
      </c>
      <c r="Y22" s="10">
        <v>32</v>
      </c>
      <c r="Z22" s="10">
        <v>3</v>
      </c>
      <c r="AA22" s="10">
        <v>4</v>
      </c>
      <c r="AB22" s="9">
        <v>15.75</v>
      </c>
      <c r="AC22" s="9">
        <f t="shared" si="3"/>
        <v>3</v>
      </c>
      <c r="AD22" s="9">
        <v>2</v>
      </c>
      <c r="AE22" s="9">
        <v>0.7</v>
      </c>
      <c r="AF22" s="9">
        <v>1.7500000000000002E-2</v>
      </c>
      <c r="AG22" s="9">
        <v>7.5</v>
      </c>
      <c r="AH22" s="9">
        <v>1.2999999999999999E-2</v>
      </c>
      <c r="AI22" s="13">
        <v>80</v>
      </c>
      <c r="AJ22" s="9">
        <f t="shared" si="4"/>
        <v>0.9</v>
      </c>
      <c r="AK22" s="9">
        <v>0</v>
      </c>
      <c r="AL22" s="9">
        <v>0</v>
      </c>
      <c r="AM22" s="9">
        <v>0</v>
      </c>
      <c r="AN22" s="9">
        <v>0</v>
      </c>
      <c r="AO22" s="9">
        <f t="shared" si="5"/>
        <v>0</v>
      </c>
      <c r="AP22" s="9">
        <v>0</v>
      </c>
      <c r="AQ22" s="9">
        <f t="shared" si="6"/>
        <v>0.5</v>
      </c>
      <c r="AR22" s="9">
        <v>5</v>
      </c>
      <c r="AS22" s="9">
        <v>0</v>
      </c>
      <c r="AT22" s="9">
        <v>0</v>
      </c>
      <c r="AU22" s="9">
        <v>0</v>
      </c>
      <c r="AV22" s="9">
        <v>0</v>
      </c>
      <c r="AW22" s="9">
        <v>59</v>
      </c>
      <c r="AX22" s="9">
        <v>0.6</v>
      </c>
      <c r="AY22" s="9">
        <v>0</v>
      </c>
      <c r="AZ22" s="9">
        <f t="shared" si="25"/>
        <v>0</v>
      </c>
      <c r="BA22" s="9">
        <v>0</v>
      </c>
      <c r="BB22" s="9">
        <v>0</v>
      </c>
      <c r="BC22" s="9">
        <v>0</v>
      </c>
      <c r="BD22" s="9">
        <v>0</v>
      </c>
      <c r="BE22" s="9">
        <v>7</v>
      </c>
      <c r="BF22" s="9">
        <f t="shared" si="8"/>
        <v>0.3</v>
      </c>
      <c r="BG22" s="9">
        <f t="shared" si="9"/>
        <v>1</v>
      </c>
      <c r="BH22" s="9">
        <v>7</v>
      </c>
      <c r="BI22" s="9">
        <f t="shared" si="10"/>
        <v>0.3</v>
      </c>
      <c r="BJ22" s="9">
        <v>8</v>
      </c>
      <c r="BK22" s="9">
        <v>0.86</v>
      </c>
      <c r="BL22" s="15">
        <v>8</v>
      </c>
      <c r="BM22" s="14">
        <v>0.67</v>
      </c>
      <c r="BN22" s="8">
        <v>0</v>
      </c>
      <c r="BO22" s="14">
        <v>0</v>
      </c>
      <c r="BP22" s="14">
        <f t="shared" si="11"/>
        <v>0.5</v>
      </c>
      <c r="BQ22" s="14">
        <v>0</v>
      </c>
      <c r="BR22" s="15">
        <v>0.81</v>
      </c>
      <c r="BS22" s="15">
        <f t="shared" si="12"/>
        <v>5.9279999999999992E-2</v>
      </c>
      <c r="BT22" s="14">
        <v>0</v>
      </c>
      <c r="BU22" s="14">
        <v>0</v>
      </c>
      <c r="BV22" s="15">
        <v>56.7</v>
      </c>
      <c r="BW22" s="15">
        <v>6.7000000000000004E-2</v>
      </c>
      <c r="BX22" s="15">
        <f t="shared" si="13"/>
        <v>48</v>
      </c>
      <c r="BY22" s="14">
        <f t="shared" si="14"/>
        <v>0</v>
      </c>
      <c r="BZ22" s="14">
        <f t="shared" si="15"/>
        <v>0</v>
      </c>
      <c r="CA22" s="14">
        <f t="shared" si="16"/>
        <v>0</v>
      </c>
      <c r="CB22" s="14">
        <f t="shared" si="17"/>
        <v>48</v>
      </c>
      <c r="CC22" s="15">
        <f t="shared" si="18"/>
        <v>0.86799999999999999</v>
      </c>
      <c r="CD22" s="14">
        <f t="shared" si="19"/>
        <v>41.66</v>
      </c>
      <c r="CE22" s="14">
        <f t="shared" si="20"/>
        <v>0.875</v>
      </c>
      <c r="CF22" s="14">
        <f t="shared" si="21"/>
        <v>36.450000000000003</v>
      </c>
      <c r="CG22" s="14">
        <f t="shared" si="22"/>
        <v>54</v>
      </c>
    </row>
    <row r="23" spans="1:85" ht="13.2" x14ac:dyDescent="0.25">
      <c r="A23" s="8">
        <v>1119166</v>
      </c>
      <c r="B23" s="9" t="s">
        <v>115</v>
      </c>
      <c r="C23" s="9" t="s">
        <v>86</v>
      </c>
      <c r="D23" s="9">
        <v>1</v>
      </c>
      <c r="E23" s="9">
        <v>0</v>
      </c>
      <c r="F23" s="9">
        <v>0</v>
      </c>
      <c r="G23" s="9">
        <v>0</v>
      </c>
      <c r="H23" s="10">
        <v>27</v>
      </c>
      <c r="I23" s="9">
        <v>27</v>
      </c>
      <c r="J23" s="11">
        <f t="shared" si="0"/>
        <v>0.6</v>
      </c>
      <c r="K23" s="10">
        <v>774</v>
      </c>
      <c r="L23" s="11">
        <v>0.3</v>
      </c>
      <c r="M23" s="11">
        <v>0</v>
      </c>
      <c r="N23" s="11" t="s">
        <v>96</v>
      </c>
      <c r="O23" s="11">
        <v>2</v>
      </c>
      <c r="P23" s="12" t="s">
        <v>88</v>
      </c>
      <c r="Q23" s="12">
        <v>0</v>
      </c>
      <c r="R23" s="9">
        <v>29</v>
      </c>
      <c r="S23" s="10">
        <v>104</v>
      </c>
      <c r="T23" s="10">
        <v>35.18</v>
      </c>
      <c r="U23" s="10">
        <f t="shared" si="1"/>
        <v>0.6</v>
      </c>
      <c r="V23" s="10">
        <v>151.76</v>
      </c>
      <c r="W23" s="10">
        <f t="shared" si="2"/>
        <v>0.6</v>
      </c>
      <c r="X23" s="10">
        <v>67</v>
      </c>
      <c r="Y23" s="10">
        <v>40</v>
      </c>
      <c r="Z23" s="10">
        <v>1</v>
      </c>
      <c r="AA23" s="10">
        <v>6</v>
      </c>
      <c r="AB23" s="9">
        <v>23.75</v>
      </c>
      <c r="AC23" s="9">
        <f t="shared" si="3"/>
        <v>3</v>
      </c>
      <c r="AD23" s="9">
        <v>2</v>
      </c>
      <c r="AE23" s="9">
        <v>0.6</v>
      </c>
      <c r="AF23" s="9">
        <v>1.4999999999999999E-2</v>
      </c>
      <c r="AG23" s="9">
        <v>6.5</v>
      </c>
      <c r="AH23" s="9">
        <v>0.13700000000000001</v>
      </c>
      <c r="AI23" s="13">
        <v>65</v>
      </c>
      <c r="AJ23" s="9">
        <f t="shared" si="4"/>
        <v>0.8</v>
      </c>
      <c r="AK23" s="9">
        <v>0</v>
      </c>
      <c r="AL23" s="9">
        <v>0</v>
      </c>
      <c r="AM23" s="9">
        <v>0</v>
      </c>
      <c r="AN23" s="9">
        <v>0</v>
      </c>
      <c r="AO23" s="9">
        <f t="shared" si="5"/>
        <v>0</v>
      </c>
      <c r="AP23" s="9">
        <v>0</v>
      </c>
      <c r="AQ23" s="9">
        <f t="shared" si="6"/>
        <v>0.3</v>
      </c>
      <c r="AR23" s="9">
        <v>3.5</v>
      </c>
      <c r="AS23" s="9">
        <v>0</v>
      </c>
      <c r="AT23" s="9">
        <v>0</v>
      </c>
      <c r="AU23" s="9">
        <v>0</v>
      </c>
      <c r="AV23" s="9">
        <v>0</v>
      </c>
      <c r="AW23" s="9">
        <v>28</v>
      </c>
      <c r="AX23" s="9">
        <v>0.3</v>
      </c>
      <c r="AY23" s="9">
        <v>0</v>
      </c>
      <c r="AZ23" s="9">
        <f t="shared" si="25"/>
        <v>0</v>
      </c>
      <c r="BA23" s="9">
        <v>0</v>
      </c>
      <c r="BB23" s="9">
        <v>0</v>
      </c>
      <c r="BC23" s="9">
        <v>0</v>
      </c>
      <c r="BD23" s="9">
        <v>0</v>
      </c>
      <c r="BE23" s="9">
        <v>6.5</v>
      </c>
      <c r="BF23" s="9">
        <f t="shared" si="8"/>
        <v>0.1</v>
      </c>
      <c r="BG23" s="9">
        <f t="shared" si="9"/>
        <v>1</v>
      </c>
      <c r="BH23" s="9">
        <v>7</v>
      </c>
      <c r="BI23" s="9">
        <f t="shared" si="10"/>
        <v>0.3</v>
      </c>
      <c r="BJ23" s="9">
        <v>7</v>
      </c>
      <c r="BK23" s="9">
        <v>0.71</v>
      </c>
      <c r="BL23" s="15">
        <v>7</v>
      </c>
      <c r="BM23" s="14">
        <v>0.33</v>
      </c>
      <c r="BN23" s="8">
        <v>0</v>
      </c>
      <c r="BO23" s="14">
        <v>0</v>
      </c>
      <c r="BP23" s="14">
        <f t="shared" si="11"/>
        <v>0.4</v>
      </c>
      <c r="BQ23" s="14">
        <v>0</v>
      </c>
      <c r="BR23" s="15">
        <v>0</v>
      </c>
      <c r="BS23" s="15">
        <f t="shared" si="12"/>
        <v>0.23900000000000002</v>
      </c>
      <c r="BT23" s="14">
        <v>0</v>
      </c>
      <c r="BU23" s="14">
        <v>0</v>
      </c>
      <c r="BV23" s="15">
        <v>48.85</v>
      </c>
      <c r="BW23" s="15">
        <v>5.8000000000000003E-2</v>
      </c>
      <c r="BX23" s="15">
        <f t="shared" si="13"/>
        <v>36.500000000000007</v>
      </c>
      <c r="BY23" s="14">
        <f t="shared" si="14"/>
        <v>0</v>
      </c>
      <c r="BZ23" s="14">
        <f t="shared" si="15"/>
        <v>0</v>
      </c>
      <c r="CA23" s="14">
        <f t="shared" si="16"/>
        <v>0</v>
      </c>
      <c r="CB23" s="14">
        <f t="shared" si="17"/>
        <v>36.500000000000007</v>
      </c>
      <c r="CC23" s="15">
        <f t="shared" si="18"/>
        <v>0.72399999999999998</v>
      </c>
      <c r="CD23" s="14">
        <f t="shared" si="19"/>
        <v>26.43</v>
      </c>
      <c r="CE23" s="14">
        <f t="shared" si="20"/>
        <v>0.92500000000000004</v>
      </c>
      <c r="CF23" s="14">
        <f t="shared" si="21"/>
        <v>24.45</v>
      </c>
      <c r="CG23" s="14">
        <f t="shared" si="22"/>
        <v>130</v>
      </c>
    </row>
    <row r="24" spans="1:85" ht="13.2" x14ac:dyDescent="0.25">
      <c r="A24" s="8">
        <v>219889</v>
      </c>
      <c r="B24" s="9" t="s">
        <v>116</v>
      </c>
      <c r="C24" s="9" t="s">
        <v>86</v>
      </c>
      <c r="D24" s="9">
        <v>1</v>
      </c>
      <c r="E24" s="9">
        <v>0</v>
      </c>
      <c r="F24" s="9">
        <v>0</v>
      </c>
      <c r="G24" s="9">
        <v>0</v>
      </c>
      <c r="H24" s="10">
        <v>22</v>
      </c>
      <c r="I24" s="9">
        <v>27</v>
      </c>
      <c r="J24" s="11">
        <f t="shared" si="0"/>
        <v>0.5</v>
      </c>
      <c r="K24" s="10">
        <v>684</v>
      </c>
      <c r="L24" s="11">
        <v>0.3</v>
      </c>
      <c r="M24" s="11">
        <v>0</v>
      </c>
      <c r="N24" s="11" t="s">
        <v>87</v>
      </c>
      <c r="O24" s="11">
        <v>1</v>
      </c>
      <c r="P24" s="12" t="s">
        <v>103</v>
      </c>
      <c r="Q24" s="12">
        <v>1</v>
      </c>
      <c r="R24" s="9">
        <v>37</v>
      </c>
      <c r="S24" s="10">
        <v>86</v>
      </c>
      <c r="T24" s="10">
        <v>31.09</v>
      </c>
      <c r="U24" s="10">
        <f t="shared" si="1"/>
        <v>0.6</v>
      </c>
      <c r="V24" s="10">
        <v>132.30000000000001</v>
      </c>
      <c r="W24" s="10">
        <f t="shared" si="2"/>
        <v>0.5</v>
      </c>
      <c r="X24" s="10">
        <v>86</v>
      </c>
      <c r="Y24" s="10">
        <v>20</v>
      </c>
      <c r="Z24" s="10">
        <v>0</v>
      </c>
      <c r="AA24" s="10">
        <v>7</v>
      </c>
      <c r="AB24" s="9">
        <v>6.25</v>
      </c>
      <c r="AC24" s="9">
        <f t="shared" si="3"/>
        <v>3</v>
      </c>
      <c r="AD24" s="9">
        <v>2</v>
      </c>
      <c r="AE24" s="9">
        <v>0.7</v>
      </c>
      <c r="AF24" s="9">
        <v>1.7500000000000002E-2</v>
      </c>
      <c r="AG24" s="9">
        <v>7.5</v>
      </c>
      <c r="AH24" s="9">
        <v>1.4E-2</v>
      </c>
      <c r="AI24" s="13">
        <v>75</v>
      </c>
      <c r="AJ24" s="9">
        <f t="shared" si="4"/>
        <v>0.9</v>
      </c>
      <c r="AK24" s="9">
        <v>0</v>
      </c>
      <c r="AL24" s="9">
        <v>0</v>
      </c>
      <c r="AM24" s="9">
        <v>0</v>
      </c>
      <c r="AN24" s="9">
        <v>0</v>
      </c>
      <c r="AO24" s="9">
        <f t="shared" si="5"/>
        <v>0</v>
      </c>
      <c r="AP24" s="9">
        <v>0</v>
      </c>
      <c r="AQ24" s="9">
        <f t="shared" si="6"/>
        <v>0.8</v>
      </c>
      <c r="AR24" s="9">
        <v>6.5</v>
      </c>
      <c r="AS24" s="9">
        <v>0</v>
      </c>
      <c r="AT24" s="9">
        <v>0</v>
      </c>
      <c r="AU24" s="9">
        <v>0</v>
      </c>
      <c r="AV24" s="9">
        <v>0</v>
      </c>
      <c r="AW24" s="9">
        <v>24</v>
      </c>
      <c r="AX24" s="9">
        <v>0.2</v>
      </c>
      <c r="AY24" s="9">
        <v>0</v>
      </c>
      <c r="AZ24" s="9">
        <f t="shared" si="25"/>
        <v>0</v>
      </c>
      <c r="BA24" s="9">
        <v>0</v>
      </c>
      <c r="BB24" s="9">
        <v>0</v>
      </c>
      <c r="BC24" s="9">
        <v>0</v>
      </c>
      <c r="BD24" s="9">
        <v>0</v>
      </c>
      <c r="BE24" s="9">
        <v>7</v>
      </c>
      <c r="BF24" s="9">
        <f t="shared" si="8"/>
        <v>0.3</v>
      </c>
      <c r="BG24" s="9">
        <f t="shared" si="9"/>
        <v>1</v>
      </c>
      <c r="BH24" s="9">
        <v>8</v>
      </c>
      <c r="BI24" s="9">
        <f t="shared" si="10"/>
        <v>0.7</v>
      </c>
      <c r="BJ24" s="9">
        <v>8</v>
      </c>
      <c r="BK24" s="9">
        <v>0.86</v>
      </c>
      <c r="BL24" s="15">
        <v>6</v>
      </c>
      <c r="BM24" s="14">
        <v>0</v>
      </c>
      <c r="BN24" s="8">
        <v>0</v>
      </c>
      <c r="BO24" s="14">
        <v>0</v>
      </c>
      <c r="BP24" s="14">
        <f t="shared" si="11"/>
        <v>0.5</v>
      </c>
      <c r="BQ24" s="14">
        <v>0</v>
      </c>
      <c r="BR24" s="15">
        <v>0</v>
      </c>
      <c r="BS24" s="15">
        <f t="shared" si="12"/>
        <v>0.26700000000000002</v>
      </c>
      <c r="BT24" s="14">
        <v>0</v>
      </c>
      <c r="BU24" s="14">
        <v>0</v>
      </c>
      <c r="BV24" s="15">
        <v>64.7</v>
      </c>
      <c r="BW24" s="15">
        <v>7.4999999999999997E-2</v>
      </c>
      <c r="BX24" s="15">
        <f t="shared" si="13"/>
        <v>40</v>
      </c>
      <c r="BY24" s="14">
        <f t="shared" si="14"/>
        <v>0</v>
      </c>
      <c r="BZ24" s="14">
        <f t="shared" si="15"/>
        <v>0</v>
      </c>
      <c r="CA24" s="14">
        <f t="shared" si="16"/>
        <v>0</v>
      </c>
      <c r="CB24" s="14">
        <f t="shared" si="17"/>
        <v>40</v>
      </c>
      <c r="CC24" s="15">
        <f t="shared" si="18"/>
        <v>0.72699999999999998</v>
      </c>
      <c r="CD24" s="14">
        <f t="shared" si="19"/>
        <v>29.08</v>
      </c>
      <c r="CE24" s="14">
        <f t="shared" si="20"/>
        <v>0.8</v>
      </c>
      <c r="CF24" s="14">
        <f t="shared" si="21"/>
        <v>23.26</v>
      </c>
      <c r="CG24" s="14">
        <f t="shared" si="22"/>
        <v>137</v>
      </c>
    </row>
    <row r="25" spans="1:85" ht="13.2" x14ac:dyDescent="0.25">
      <c r="A25" s="8">
        <v>604535</v>
      </c>
      <c r="B25" s="9" t="s">
        <v>117</v>
      </c>
      <c r="C25" s="9" t="s">
        <v>86</v>
      </c>
      <c r="D25" s="9">
        <v>1</v>
      </c>
      <c r="E25" s="9">
        <v>0</v>
      </c>
      <c r="F25" s="9">
        <v>0</v>
      </c>
      <c r="G25" s="9">
        <v>0</v>
      </c>
      <c r="H25" s="10">
        <v>16</v>
      </c>
      <c r="I25" s="9">
        <v>22</v>
      </c>
      <c r="J25" s="11">
        <f t="shared" si="0"/>
        <v>0.3</v>
      </c>
      <c r="K25" s="10">
        <v>455</v>
      </c>
      <c r="L25" s="11">
        <v>0.2</v>
      </c>
      <c r="M25" s="11">
        <v>0</v>
      </c>
      <c r="N25" s="11" t="s">
        <v>90</v>
      </c>
      <c r="O25" s="11">
        <v>2</v>
      </c>
      <c r="P25" s="12" t="s">
        <v>88</v>
      </c>
      <c r="Q25" s="12">
        <v>0</v>
      </c>
      <c r="R25" s="9">
        <v>29</v>
      </c>
      <c r="S25" s="10">
        <v>75</v>
      </c>
      <c r="T25" s="10">
        <v>30.33</v>
      </c>
      <c r="U25" s="10">
        <f t="shared" si="1"/>
        <v>0.5</v>
      </c>
      <c r="V25" s="10">
        <v>139.13999999999999</v>
      </c>
      <c r="W25" s="10">
        <f t="shared" si="2"/>
        <v>0.6</v>
      </c>
      <c r="X25" s="10">
        <v>44</v>
      </c>
      <c r="Y25" s="10">
        <v>21</v>
      </c>
      <c r="Z25" s="10">
        <v>0</v>
      </c>
      <c r="AA25" s="10">
        <v>3</v>
      </c>
      <c r="AB25" s="9">
        <v>8</v>
      </c>
      <c r="AC25" s="9">
        <f t="shared" si="3"/>
        <v>3</v>
      </c>
      <c r="AD25" s="9">
        <v>1</v>
      </c>
      <c r="AE25" s="9">
        <v>0.6</v>
      </c>
      <c r="AF25" s="9">
        <v>1.4999999999999999E-2</v>
      </c>
      <c r="AG25" s="9">
        <v>6.5</v>
      </c>
      <c r="AH25" s="9">
        <v>0.20899999999999999</v>
      </c>
      <c r="AI25" s="13">
        <v>65</v>
      </c>
      <c r="AJ25" s="9">
        <f t="shared" si="4"/>
        <v>0.8</v>
      </c>
      <c r="AK25" s="9">
        <v>0</v>
      </c>
      <c r="AL25" s="9">
        <v>0</v>
      </c>
      <c r="AM25" s="9">
        <v>0</v>
      </c>
      <c r="AN25" s="9">
        <v>0</v>
      </c>
      <c r="AO25" s="9">
        <f t="shared" si="5"/>
        <v>0</v>
      </c>
      <c r="AP25" s="9">
        <v>0</v>
      </c>
      <c r="AQ25" s="9">
        <f t="shared" si="6"/>
        <v>0.3</v>
      </c>
      <c r="AR25" s="9">
        <v>3.5</v>
      </c>
      <c r="AS25" s="9">
        <v>0</v>
      </c>
      <c r="AT25" s="9">
        <v>0</v>
      </c>
      <c r="AU25" s="9">
        <v>0</v>
      </c>
      <c r="AV25" s="9">
        <v>0</v>
      </c>
      <c r="AW25" s="9">
        <v>35</v>
      </c>
      <c r="AX25" s="9">
        <v>0.4</v>
      </c>
      <c r="AY25" s="9">
        <v>0</v>
      </c>
      <c r="AZ25" s="9">
        <f t="shared" si="25"/>
        <v>0</v>
      </c>
      <c r="BA25" s="9">
        <v>0</v>
      </c>
      <c r="BB25" s="9">
        <v>0</v>
      </c>
      <c r="BC25" s="9">
        <v>0</v>
      </c>
      <c r="BD25" s="9">
        <v>0</v>
      </c>
      <c r="BE25" s="9">
        <v>6.5</v>
      </c>
      <c r="BF25" s="9">
        <f t="shared" si="8"/>
        <v>0.1</v>
      </c>
      <c r="BG25" s="9">
        <f t="shared" si="9"/>
        <v>1</v>
      </c>
      <c r="BH25" s="9">
        <v>7</v>
      </c>
      <c r="BI25" s="9">
        <f t="shared" si="10"/>
        <v>0.3</v>
      </c>
      <c r="BJ25" s="9">
        <v>7</v>
      </c>
      <c r="BK25" s="9">
        <v>0.71</v>
      </c>
      <c r="BL25" s="15">
        <v>7</v>
      </c>
      <c r="BM25" s="14">
        <v>0.33</v>
      </c>
      <c r="BN25" s="8">
        <v>0</v>
      </c>
      <c r="BO25" s="14">
        <v>0</v>
      </c>
      <c r="BP25" s="14">
        <f t="shared" si="11"/>
        <v>0.4</v>
      </c>
      <c r="BQ25" s="14">
        <v>0</v>
      </c>
      <c r="BR25" s="15">
        <v>0</v>
      </c>
      <c r="BS25" s="15">
        <f t="shared" si="12"/>
        <v>0.19400000000000001</v>
      </c>
      <c r="BT25" s="14">
        <v>0</v>
      </c>
      <c r="BU25" s="14">
        <v>0</v>
      </c>
      <c r="BV25" s="15">
        <v>50.35</v>
      </c>
      <c r="BW25" s="15">
        <v>0.06</v>
      </c>
      <c r="BX25" s="15">
        <f t="shared" si="13"/>
        <v>35.000000000000007</v>
      </c>
      <c r="BY25" s="14">
        <f t="shared" si="14"/>
        <v>0</v>
      </c>
      <c r="BZ25" s="14">
        <f t="shared" si="15"/>
        <v>0</v>
      </c>
      <c r="CA25" s="14">
        <f t="shared" si="16"/>
        <v>0</v>
      </c>
      <c r="CB25" s="14">
        <f t="shared" si="17"/>
        <v>35.000000000000007</v>
      </c>
      <c r="CC25" s="15">
        <f t="shared" si="18"/>
        <v>0.71899999999999997</v>
      </c>
      <c r="CD25" s="14">
        <f t="shared" si="19"/>
        <v>25.17</v>
      </c>
      <c r="CE25" s="14">
        <f t="shared" si="20"/>
        <v>0.92500000000000004</v>
      </c>
      <c r="CF25" s="14">
        <f t="shared" si="21"/>
        <v>23.28</v>
      </c>
      <c r="CG25" s="14">
        <f t="shared" si="22"/>
        <v>136</v>
      </c>
    </row>
    <row r="26" spans="1:85" ht="13.2" x14ac:dyDescent="0.25">
      <c r="A26" s="8">
        <v>1202551</v>
      </c>
      <c r="B26" s="9" t="s">
        <v>118</v>
      </c>
      <c r="C26" s="9" t="s">
        <v>86</v>
      </c>
      <c r="D26" s="9">
        <v>1</v>
      </c>
      <c r="E26" s="9">
        <v>0</v>
      </c>
      <c r="F26" s="9">
        <v>0</v>
      </c>
      <c r="G26" s="9">
        <v>0</v>
      </c>
      <c r="H26" s="10">
        <v>28</v>
      </c>
      <c r="I26" s="9">
        <v>16</v>
      </c>
      <c r="J26" s="11">
        <f t="shared" si="0"/>
        <v>0.5</v>
      </c>
      <c r="K26" s="10">
        <v>692</v>
      </c>
      <c r="L26" s="11">
        <v>0.3</v>
      </c>
      <c r="M26" s="11">
        <v>0</v>
      </c>
      <c r="N26" s="11" t="s">
        <v>90</v>
      </c>
      <c r="O26" s="11">
        <v>2</v>
      </c>
      <c r="P26" s="12" t="s">
        <v>88</v>
      </c>
      <c r="Q26" s="12">
        <v>0</v>
      </c>
      <c r="R26" s="9">
        <v>27</v>
      </c>
      <c r="S26" s="10">
        <v>103</v>
      </c>
      <c r="T26" s="10">
        <v>24.71</v>
      </c>
      <c r="U26" s="10">
        <f t="shared" si="1"/>
        <v>0.4</v>
      </c>
      <c r="V26" s="10">
        <v>153.44</v>
      </c>
      <c r="W26" s="10">
        <f t="shared" si="2"/>
        <v>0.6</v>
      </c>
      <c r="X26" s="10">
        <v>72</v>
      </c>
      <c r="Y26" s="10">
        <v>39</v>
      </c>
      <c r="Z26" s="10">
        <v>1</v>
      </c>
      <c r="AA26" s="10">
        <v>3</v>
      </c>
      <c r="AB26" s="9">
        <v>8.8000000000000007</v>
      </c>
      <c r="AC26" s="9">
        <f t="shared" si="3"/>
        <v>3</v>
      </c>
      <c r="AD26" s="9">
        <v>1.5</v>
      </c>
      <c r="AE26" s="9">
        <v>0.5</v>
      </c>
      <c r="AF26" s="9">
        <v>1.2500000000000001E-2</v>
      </c>
      <c r="AG26" s="9">
        <v>6</v>
      </c>
      <c r="AH26" s="9">
        <v>0.55600000000000005</v>
      </c>
      <c r="AI26" s="13">
        <v>40</v>
      </c>
      <c r="AJ26" s="9">
        <f t="shared" si="4"/>
        <v>0.4</v>
      </c>
      <c r="AK26" s="9">
        <v>0</v>
      </c>
      <c r="AL26" s="9">
        <v>0</v>
      </c>
      <c r="AM26" s="9">
        <v>0</v>
      </c>
      <c r="AN26" s="9">
        <v>0</v>
      </c>
      <c r="AO26" s="9">
        <f t="shared" si="5"/>
        <v>0</v>
      </c>
      <c r="AP26" s="9">
        <v>0</v>
      </c>
      <c r="AQ26" s="9">
        <f t="shared" si="6"/>
        <v>0.1</v>
      </c>
      <c r="AR26" s="9">
        <v>2.5</v>
      </c>
      <c r="AS26" s="9">
        <v>0</v>
      </c>
      <c r="AT26" s="9">
        <v>0</v>
      </c>
      <c r="AU26" s="9">
        <v>0</v>
      </c>
      <c r="AV26" s="9">
        <v>0</v>
      </c>
      <c r="AW26" s="9">
        <v>38</v>
      </c>
      <c r="AX26" s="9">
        <v>0.4</v>
      </c>
      <c r="AY26" s="9">
        <v>0</v>
      </c>
      <c r="AZ26" s="9">
        <f t="shared" si="25"/>
        <v>0</v>
      </c>
      <c r="BA26" s="9">
        <v>0</v>
      </c>
      <c r="BB26" s="9">
        <v>0</v>
      </c>
      <c r="BC26" s="9">
        <v>0</v>
      </c>
      <c r="BD26" s="9">
        <v>0</v>
      </c>
      <c r="BE26" s="9">
        <v>6</v>
      </c>
      <c r="BF26" s="9">
        <f t="shared" si="8"/>
        <v>0</v>
      </c>
      <c r="BG26" s="9">
        <f t="shared" si="9"/>
        <v>1</v>
      </c>
      <c r="BH26" s="9">
        <v>6</v>
      </c>
      <c r="BI26" s="9">
        <f t="shared" si="10"/>
        <v>0</v>
      </c>
      <c r="BJ26" s="9">
        <v>7</v>
      </c>
      <c r="BK26" s="9">
        <v>0.71</v>
      </c>
      <c r="BL26" s="15">
        <v>6</v>
      </c>
      <c r="BM26" s="14">
        <v>0</v>
      </c>
      <c r="BN26" s="8">
        <v>0</v>
      </c>
      <c r="BO26" s="14">
        <v>0</v>
      </c>
      <c r="BP26" s="14">
        <f t="shared" si="11"/>
        <v>0.4</v>
      </c>
      <c r="BQ26" s="14">
        <v>0</v>
      </c>
      <c r="BR26" s="15">
        <v>0</v>
      </c>
      <c r="BS26" s="15">
        <f t="shared" si="12"/>
        <v>0.183</v>
      </c>
      <c r="BT26" s="14">
        <v>0</v>
      </c>
      <c r="BU26" s="14">
        <v>0</v>
      </c>
      <c r="BV26" s="15">
        <v>50.55</v>
      </c>
      <c r="BW26" s="15">
        <v>0.06</v>
      </c>
      <c r="BX26" s="15">
        <f t="shared" si="13"/>
        <v>36.500000000000007</v>
      </c>
      <c r="BY26" s="14">
        <f t="shared" si="14"/>
        <v>0</v>
      </c>
      <c r="BZ26" s="14">
        <f t="shared" si="15"/>
        <v>0</v>
      </c>
      <c r="CA26" s="14">
        <f t="shared" si="16"/>
        <v>0</v>
      </c>
      <c r="CB26" s="14">
        <f t="shared" si="17"/>
        <v>36.500000000000007</v>
      </c>
      <c r="CC26" s="15">
        <f t="shared" si="18"/>
        <v>0.71799999999999997</v>
      </c>
      <c r="CD26" s="14">
        <f t="shared" si="19"/>
        <v>26.21</v>
      </c>
      <c r="CE26" s="14">
        <f t="shared" si="20"/>
        <v>0.97499999999999998</v>
      </c>
      <c r="CF26" s="14">
        <f t="shared" si="21"/>
        <v>25.55</v>
      </c>
      <c r="CG26" s="14">
        <f t="shared" si="22"/>
        <v>125</v>
      </c>
    </row>
    <row r="27" spans="1:85" ht="13.2" x14ac:dyDescent="0.25">
      <c r="A27" s="8">
        <v>297433</v>
      </c>
      <c r="B27" s="9" t="s">
        <v>119</v>
      </c>
      <c r="C27" s="9" t="s">
        <v>86</v>
      </c>
      <c r="D27" s="9">
        <v>1</v>
      </c>
      <c r="E27" s="9">
        <v>0</v>
      </c>
      <c r="F27" s="9">
        <v>0</v>
      </c>
      <c r="G27" s="9">
        <v>0</v>
      </c>
      <c r="H27" s="10">
        <v>11</v>
      </c>
      <c r="I27" s="9">
        <v>28</v>
      </c>
      <c r="J27" s="11">
        <f t="shared" si="0"/>
        <v>0.2</v>
      </c>
      <c r="K27" s="10">
        <v>298</v>
      </c>
      <c r="L27" s="11">
        <v>0.2</v>
      </c>
      <c r="M27" s="11">
        <v>0</v>
      </c>
      <c r="N27" s="11" t="s">
        <v>87</v>
      </c>
      <c r="O27" s="11">
        <v>1</v>
      </c>
      <c r="P27" s="12" t="s">
        <v>94</v>
      </c>
      <c r="Q27" s="12">
        <v>1</v>
      </c>
      <c r="R27" s="9">
        <v>34</v>
      </c>
      <c r="S27" s="10">
        <v>108</v>
      </c>
      <c r="T27" s="10">
        <v>29.8</v>
      </c>
      <c r="U27" s="10">
        <f t="shared" si="1"/>
        <v>0.5</v>
      </c>
      <c r="V27" s="10">
        <v>152.82</v>
      </c>
      <c r="W27" s="10">
        <f t="shared" si="2"/>
        <v>0.6</v>
      </c>
      <c r="X27" s="10">
        <v>33</v>
      </c>
      <c r="Y27" s="10">
        <v>14</v>
      </c>
      <c r="Z27" s="10">
        <v>1</v>
      </c>
      <c r="AA27" s="10">
        <v>0</v>
      </c>
      <c r="AB27" s="9">
        <v>6.75</v>
      </c>
      <c r="AC27" s="9">
        <f t="shared" si="3"/>
        <v>3</v>
      </c>
      <c r="AD27" s="9">
        <v>1.5</v>
      </c>
      <c r="AE27" s="9">
        <v>0.6</v>
      </c>
      <c r="AF27" s="9">
        <v>1.4999999999999999E-2</v>
      </c>
      <c r="AG27" s="9">
        <v>7</v>
      </c>
      <c r="AH27" s="9">
        <v>0.313</v>
      </c>
      <c r="AI27" s="13">
        <v>75</v>
      </c>
      <c r="AJ27" s="9">
        <f t="shared" si="4"/>
        <v>0.9</v>
      </c>
      <c r="AK27" s="9">
        <v>0</v>
      </c>
      <c r="AL27" s="9">
        <v>0</v>
      </c>
      <c r="AM27" s="9">
        <v>0</v>
      </c>
      <c r="AN27" s="9">
        <v>0</v>
      </c>
      <c r="AO27" s="9">
        <f t="shared" si="5"/>
        <v>0</v>
      </c>
      <c r="AP27" s="9">
        <v>0</v>
      </c>
      <c r="AQ27" s="9">
        <f t="shared" si="6"/>
        <v>0.6</v>
      </c>
      <c r="AR27" s="9">
        <v>5.5</v>
      </c>
      <c r="AS27" s="9">
        <v>0</v>
      </c>
      <c r="AT27" s="9">
        <v>0</v>
      </c>
      <c r="AU27" s="9">
        <v>0</v>
      </c>
      <c r="AV27" s="9">
        <v>0</v>
      </c>
      <c r="AW27" s="9">
        <v>29</v>
      </c>
      <c r="AX27" s="9">
        <v>0.3</v>
      </c>
      <c r="AY27" s="9">
        <v>0</v>
      </c>
      <c r="AZ27" s="9">
        <f t="shared" si="25"/>
        <v>0</v>
      </c>
      <c r="BA27" s="9">
        <v>0</v>
      </c>
      <c r="BB27" s="9">
        <v>0</v>
      </c>
      <c r="BC27" s="9">
        <v>0</v>
      </c>
      <c r="BD27" s="9">
        <v>0</v>
      </c>
      <c r="BE27" s="9">
        <v>7</v>
      </c>
      <c r="BF27" s="9">
        <f t="shared" si="8"/>
        <v>0.3</v>
      </c>
      <c r="BG27" s="9">
        <f t="shared" si="9"/>
        <v>2</v>
      </c>
      <c r="BH27" s="9">
        <v>6</v>
      </c>
      <c r="BI27" s="9">
        <f t="shared" si="10"/>
        <v>0</v>
      </c>
      <c r="BJ27" s="9">
        <v>5</v>
      </c>
      <c r="BK27" s="9">
        <v>0.43</v>
      </c>
      <c r="BL27" s="15">
        <v>6</v>
      </c>
      <c r="BM27" s="14">
        <v>0</v>
      </c>
      <c r="BN27" s="8">
        <v>0</v>
      </c>
      <c r="BO27" s="14">
        <v>0</v>
      </c>
      <c r="BP27" s="14">
        <f t="shared" si="11"/>
        <v>0.4</v>
      </c>
      <c r="BQ27" s="14">
        <v>0</v>
      </c>
      <c r="BR27" s="15">
        <v>0</v>
      </c>
      <c r="BS27" s="15">
        <f t="shared" si="12"/>
        <v>0.222</v>
      </c>
      <c r="BT27" s="14">
        <v>0</v>
      </c>
      <c r="BU27" s="14">
        <v>0</v>
      </c>
      <c r="BV27" s="15">
        <v>38.049999999999997</v>
      </c>
      <c r="BW27" s="15">
        <v>4.7E-2</v>
      </c>
      <c r="BX27" s="15">
        <f t="shared" si="13"/>
        <v>36.000000000000007</v>
      </c>
      <c r="BY27" s="14">
        <f t="shared" si="14"/>
        <v>0</v>
      </c>
      <c r="BZ27" s="14">
        <f t="shared" si="15"/>
        <v>0</v>
      </c>
      <c r="CA27" s="14">
        <f t="shared" si="16"/>
        <v>0</v>
      </c>
      <c r="CB27" s="14">
        <f t="shared" si="17"/>
        <v>36.000000000000007</v>
      </c>
      <c r="CC27" s="15">
        <f t="shared" si="18"/>
        <v>0.72199999999999998</v>
      </c>
      <c r="CD27" s="14">
        <f t="shared" si="19"/>
        <v>25.99</v>
      </c>
      <c r="CE27" s="14">
        <f t="shared" si="20"/>
        <v>0.85</v>
      </c>
      <c r="CF27" s="14">
        <f t="shared" si="21"/>
        <v>22.09</v>
      </c>
      <c r="CG27" s="14">
        <f t="shared" si="22"/>
        <v>145</v>
      </c>
    </row>
    <row r="28" spans="1:85" ht="13.2" x14ac:dyDescent="0.25">
      <c r="A28" s="8">
        <v>1111280</v>
      </c>
      <c r="B28" s="9" t="s">
        <v>120</v>
      </c>
      <c r="C28" s="9" t="s">
        <v>86</v>
      </c>
      <c r="D28" s="9">
        <v>1</v>
      </c>
      <c r="E28" s="9">
        <v>0</v>
      </c>
      <c r="F28" s="9">
        <v>0</v>
      </c>
      <c r="G28" s="9">
        <v>0</v>
      </c>
      <c r="H28" s="10">
        <v>15</v>
      </c>
      <c r="I28" s="9">
        <v>11</v>
      </c>
      <c r="J28" s="11">
        <f t="shared" si="0"/>
        <v>0.3</v>
      </c>
      <c r="K28" s="10">
        <v>403</v>
      </c>
      <c r="L28" s="11">
        <v>0.2</v>
      </c>
      <c r="M28" s="11">
        <v>0</v>
      </c>
      <c r="N28" s="11" t="s">
        <v>96</v>
      </c>
      <c r="O28" s="11">
        <v>3</v>
      </c>
      <c r="P28" s="12" t="s">
        <v>101</v>
      </c>
      <c r="Q28" s="12">
        <v>1</v>
      </c>
      <c r="R28" s="9">
        <v>23</v>
      </c>
      <c r="S28" s="10">
        <v>71</v>
      </c>
      <c r="T28" s="10">
        <v>44.78</v>
      </c>
      <c r="U28" s="10">
        <f t="shared" si="1"/>
        <v>0.8</v>
      </c>
      <c r="V28" s="10">
        <v>175.98</v>
      </c>
      <c r="W28" s="10">
        <f t="shared" si="2"/>
        <v>0.7</v>
      </c>
      <c r="X28" s="10">
        <v>26</v>
      </c>
      <c r="Y28" s="10">
        <v>26</v>
      </c>
      <c r="Z28" s="10">
        <v>0</v>
      </c>
      <c r="AA28" s="10">
        <v>3</v>
      </c>
      <c r="AB28" s="9">
        <v>0.5</v>
      </c>
      <c r="AC28" s="9">
        <f t="shared" si="3"/>
        <v>2</v>
      </c>
      <c r="AD28" s="9">
        <v>0.5</v>
      </c>
      <c r="AE28" s="9">
        <v>0.5</v>
      </c>
      <c r="AF28" s="9">
        <v>1.2500000000000001E-2</v>
      </c>
      <c r="AG28" s="9">
        <v>7.5</v>
      </c>
      <c r="AH28" s="9">
        <v>0.24</v>
      </c>
      <c r="AI28" s="13">
        <v>45</v>
      </c>
      <c r="AJ28" s="9">
        <f t="shared" si="4"/>
        <v>0.5</v>
      </c>
      <c r="AK28" s="9">
        <v>0</v>
      </c>
      <c r="AL28" s="9">
        <v>0</v>
      </c>
      <c r="AM28" s="9">
        <v>0</v>
      </c>
      <c r="AN28" s="9">
        <v>0</v>
      </c>
      <c r="AO28" s="9">
        <f t="shared" si="5"/>
        <v>0</v>
      </c>
      <c r="AP28" s="9">
        <v>0</v>
      </c>
      <c r="AQ28" s="9">
        <f t="shared" si="6"/>
        <v>0.1</v>
      </c>
      <c r="AR28" s="9">
        <v>2.5</v>
      </c>
      <c r="AS28" s="9">
        <v>0</v>
      </c>
      <c r="AT28" s="9">
        <v>0</v>
      </c>
      <c r="AU28" s="9">
        <v>0</v>
      </c>
      <c r="AV28" s="9">
        <v>0</v>
      </c>
      <c r="AW28" s="9">
        <v>40</v>
      </c>
      <c r="AX28" s="9">
        <v>0.4</v>
      </c>
      <c r="AY28" s="9">
        <v>0</v>
      </c>
      <c r="AZ28" s="9">
        <f t="shared" si="25"/>
        <v>0</v>
      </c>
      <c r="BA28" s="9">
        <v>0</v>
      </c>
      <c r="BB28" s="9">
        <v>0</v>
      </c>
      <c r="BC28" s="9">
        <v>0</v>
      </c>
      <c r="BD28" s="9">
        <v>0</v>
      </c>
      <c r="BE28" s="9">
        <v>7.5</v>
      </c>
      <c r="BF28" s="9">
        <f t="shared" si="8"/>
        <v>0.4</v>
      </c>
      <c r="BG28" s="9">
        <f t="shared" si="9"/>
        <v>1</v>
      </c>
      <c r="BH28" s="9">
        <v>7</v>
      </c>
      <c r="BI28" s="9">
        <f t="shared" si="10"/>
        <v>0.3</v>
      </c>
      <c r="BJ28" s="9">
        <v>7</v>
      </c>
      <c r="BK28" s="9">
        <v>0.71</v>
      </c>
      <c r="BL28" s="15">
        <v>7</v>
      </c>
      <c r="BM28" s="14">
        <v>0.33</v>
      </c>
      <c r="BN28" s="8">
        <v>0</v>
      </c>
      <c r="BO28" s="14">
        <v>0</v>
      </c>
      <c r="BP28" s="14">
        <f t="shared" si="11"/>
        <v>0.5</v>
      </c>
      <c r="BQ28" s="14">
        <v>0</v>
      </c>
      <c r="BR28" s="15">
        <v>0</v>
      </c>
      <c r="BS28" s="15">
        <f t="shared" si="12"/>
        <v>0.18200000000000002</v>
      </c>
      <c r="BT28" s="14">
        <v>0</v>
      </c>
      <c r="BU28" s="14">
        <v>0</v>
      </c>
      <c r="BV28" s="15">
        <v>52.75</v>
      </c>
      <c r="BW28" s="15">
        <v>6.2E-2</v>
      </c>
      <c r="BX28" s="15">
        <f t="shared" si="13"/>
        <v>43.500000000000007</v>
      </c>
      <c r="BY28" s="14">
        <f t="shared" si="14"/>
        <v>0</v>
      </c>
      <c r="BZ28" s="14">
        <f t="shared" si="15"/>
        <v>0</v>
      </c>
      <c r="CA28" s="14">
        <f t="shared" si="16"/>
        <v>0</v>
      </c>
      <c r="CB28" s="14">
        <f t="shared" si="17"/>
        <v>43.500000000000007</v>
      </c>
      <c r="CC28" s="15">
        <f t="shared" si="18"/>
        <v>0.71799999999999997</v>
      </c>
      <c r="CD28" s="14">
        <f t="shared" si="19"/>
        <v>31.23</v>
      </c>
      <c r="CE28" s="14">
        <f t="shared" si="20"/>
        <v>0.97499999999999998</v>
      </c>
      <c r="CF28" s="14">
        <f t="shared" si="21"/>
        <v>30.45</v>
      </c>
      <c r="CG28" s="14">
        <f t="shared" si="22"/>
        <v>93</v>
      </c>
    </row>
    <row r="29" spans="1:85" ht="13.2" x14ac:dyDescent="0.25">
      <c r="A29" s="8">
        <v>379143</v>
      </c>
      <c r="B29" s="9" t="s">
        <v>121</v>
      </c>
      <c r="C29" s="9" t="s">
        <v>86</v>
      </c>
      <c r="D29" s="9">
        <v>1</v>
      </c>
      <c r="E29" s="9">
        <v>0</v>
      </c>
      <c r="F29" s="9">
        <v>0</v>
      </c>
      <c r="G29" s="9">
        <v>0</v>
      </c>
      <c r="H29" s="10">
        <v>15</v>
      </c>
      <c r="I29" s="9">
        <v>15</v>
      </c>
      <c r="J29" s="11">
        <f t="shared" si="0"/>
        <v>0.3</v>
      </c>
      <c r="K29" s="10">
        <v>393</v>
      </c>
      <c r="L29" s="11">
        <v>0.2</v>
      </c>
      <c r="M29" s="11">
        <v>0</v>
      </c>
      <c r="N29" s="11" t="s">
        <v>87</v>
      </c>
      <c r="O29" s="11">
        <v>1</v>
      </c>
      <c r="P29" s="12" t="s">
        <v>101</v>
      </c>
      <c r="Q29" s="12">
        <v>1</v>
      </c>
      <c r="R29" s="9">
        <v>31</v>
      </c>
      <c r="S29" s="10">
        <v>81</v>
      </c>
      <c r="T29" s="10">
        <v>26.2</v>
      </c>
      <c r="U29" s="10">
        <f t="shared" si="1"/>
        <v>0.5</v>
      </c>
      <c r="V29" s="10">
        <v>136.46</v>
      </c>
      <c r="W29" s="10">
        <f t="shared" si="2"/>
        <v>0.6</v>
      </c>
      <c r="X29" s="10">
        <v>39</v>
      </c>
      <c r="Y29" s="10">
        <v>17</v>
      </c>
      <c r="Z29" s="10">
        <v>0</v>
      </c>
      <c r="AA29" s="10">
        <v>4</v>
      </c>
      <c r="AB29" s="9">
        <v>6.75</v>
      </c>
      <c r="AC29" s="9">
        <f t="shared" si="3"/>
        <v>3</v>
      </c>
      <c r="AD29" s="9">
        <v>2</v>
      </c>
      <c r="AE29" s="9">
        <v>0.7</v>
      </c>
      <c r="AF29" s="9">
        <v>1.7500000000000002E-2</v>
      </c>
      <c r="AG29" s="9">
        <v>7.5</v>
      </c>
      <c r="AH29" s="9">
        <v>0.13400000000000001</v>
      </c>
      <c r="AI29" s="13">
        <v>80</v>
      </c>
      <c r="AJ29" s="9">
        <f t="shared" si="4"/>
        <v>0.9</v>
      </c>
      <c r="AK29" s="9">
        <v>0</v>
      </c>
      <c r="AL29" s="9">
        <v>0</v>
      </c>
      <c r="AM29" s="9">
        <v>0</v>
      </c>
      <c r="AN29" s="9">
        <v>0</v>
      </c>
      <c r="AO29" s="9">
        <f t="shared" si="5"/>
        <v>0</v>
      </c>
      <c r="AP29" s="9">
        <v>0</v>
      </c>
      <c r="AQ29" s="9">
        <f t="shared" si="6"/>
        <v>0.5</v>
      </c>
      <c r="AR29" s="9">
        <v>5</v>
      </c>
      <c r="AS29" s="9">
        <v>0</v>
      </c>
      <c r="AT29" s="9">
        <v>0</v>
      </c>
      <c r="AU29" s="9">
        <v>0</v>
      </c>
      <c r="AV29" s="9">
        <v>0</v>
      </c>
      <c r="AW29" s="9">
        <v>22</v>
      </c>
      <c r="AX29" s="9">
        <v>0.2</v>
      </c>
      <c r="AY29" s="9">
        <v>0</v>
      </c>
      <c r="AZ29" s="9">
        <f t="shared" si="25"/>
        <v>0</v>
      </c>
      <c r="BA29" s="9">
        <v>0</v>
      </c>
      <c r="BB29" s="9">
        <v>0</v>
      </c>
      <c r="BC29" s="9">
        <v>0</v>
      </c>
      <c r="BD29" s="9">
        <v>0</v>
      </c>
      <c r="BE29" s="9">
        <v>7.5</v>
      </c>
      <c r="BF29" s="9">
        <f t="shared" si="8"/>
        <v>0.4</v>
      </c>
      <c r="BG29" s="9">
        <f t="shared" si="9"/>
        <v>2</v>
      </c>
      <c r="BH29" s="9">
        <v>7</v>
      </c>
      <c r="BI29" s="9">
        <f t="shared" si="10"/>
        <v>0.3</v>
      </c>
      <c r="BJ29" s="9">
        <v>7</v>
      </c>
      <c r="BK29" s="9">
        <v>0.71</v>
      </c>
      <c r="BL29" s="15">
        <v>7</v>
      </c>
      <c r="BM29" s="14">
        <v>0.33</v>
      </c>
      <c r="BN29" s="8">
        <v>0</v>
      </c>
      <c r="BO29" s="14">
        <v>0</v>
      </c>
      <c r="BP29" s="14">
        <f t="shared" si="11"/>
        <v>0.4</v>
      </c>
      <c r="BQ29" s="14">
        <v>0</v>
      </c>
      <c r="BR29" s="15">
        <v>0</v>
      </c>
      <c r="BS29" s="15">
        <f t="shared" si="12"/>
        <v>0.23</v>
      </c>
      <c r="BT29" s="14">
        <v>0</v>
      </c>
      <c r="BU29" s="14">
        <v>0</v>
      </c>
      <c r="BV29" s="15">
        <v>49.75</v>
      </c>
      <c r="BW29" s="15">
        <v>5.8999999999999997E-2</v>
      </c>
      <c r="BX29" s="15">
        <f t="shared" si="13"/>
        <v>36.000000000000007</v>
      </c>
      <c r="BY29" s="14">
        <f t="shared" si="14"/>
        <v>0</v>
      </c>
      <c r="BZ29" s="14">
        <f t="shared" si="15"/>
        <v>0</v>
      </c>
      <c r="CA29" s="14">
        <f t="shared" si="16"/>
        <v>0</v>
      </c>
      <c r="CB29" s="14">
        <f t="shared" si="17"/>
        <v>36.000000000000007</v>
      </c>
      <c r="CC29" s="15">
        <f t="shared" si="18"/>
        <v>0.72299999999999998</v>
      </c>
      <c r="CD29" s="14">
        <f t="shared" si="19"/>
        <v>26.03</v>
      </c>
      <c r="CE29" s="14">
        <f t="shared" si="20"/>
        <v>0.875</v>
      </c>
      <c r="CF29" s="14">
        <f t="shared" si="21"/>
        <v>22.78</v>
      </c>
      <c r="CG29" s="14">
        <f t="shared" si="22"/>
        <v>141</v>
      </c>
    </row>
    <row r="30" spans="1:85" ht="13.2" x14ac:dyDescent="0.25">
      <c r="A30" s="8">
        <v>28235</v>
      </c>
      <c r="B30" s="9" t="s">
        <v>122</v>
      </c>
      <c r="C30" s="9" t="s">
        <v>86</v>
      </c>
      <c r="D30" s="9">
        <v>1</v>
      </c>
      <c r="E30" s="9">
        <v>0</v>
      </c>
      <c r="F30" s="9">
        <v>0</v>
      </c>
      <c r="G30" s="9">
        <v>0</v>
      </c>
      <c r="H30" s="10">
        <v>16</v>
      </c>
      <c r="I30" s="9">
        <v>15</v>
      </c>
      <c r="J30" s="11">
        <f t="shared" si="0"/>
        <v>0.4</v>
      </c>
      <c r="K30" s="10">
        <v>525</v>
      </c>
      <c r="L30" s="11">
        <v>0.2</v>
      </c>
      <c r="M30" s="11">
        <v>0</v>
      </c>
      <c r="N30" s="11" t="s">
        <v>87</v>
      </c>
      <c r="O30" s="11">
        <v>1</v>
      </c>
      <c r="P30" s="12" t="s">
        <v>88</v>
      </c>
      <c r="Q30" s="12">
        <v>0</v>
      </c>
      <c r="R30" s="9">
        <v>37</v>
      </c>
      <c r="S30" s="10">
        <v>99</v>
      </c>
      <c r="T30" s="10">
        <v>37.5</v>
      </c>
      <c r="U30" s="10">
        <f t="shared" si="1"/>
        <v>0.7</v>
      </c>
      <c r="V30" s="10">
        <v>137.43</v>
      </c>
      <c r="W30" s="10">
        <f t="shared" si="2"/>
        <v>0.6</v>
      </c>
      <c r="X30" s="10">
        <v>67</v>
      </c>
      <c r="Y30" s="10">
        <v>16</v>
      </c>
      <c r="Z30" s="10">
        <v>0</v>
      </c>
      <c r="AA30" s="10">
        <v>4</v>
      </c>
      <c r="AB30" s="9">
        <v>8.25</v>
      </c>
      <c r="AC30" s="9">
        <f t="shared" si="3"/>
        <v>3</v>
      </c>
      <c r="AD30" s="9">
        <v>2</v>
      </c>
      <c r="AE30" s="9">
        <v>0.6</v>
      </c>
      <c r="AF30" s="9">
        <v>1.4999999999999999E-2</v>
      </c>
      <c r="AG30" s="9">
        <v>6.5</v>
      </c>
      <c r="AH30" s="9">
        <v>0.25</v>
      </c>
      <c r="AI30" s="13">
        <v>75</v>
      </c>
      <c r="AJ30" s="9">
        <f t="shared" si="4"/>
        <v>0.9</v>
      </c>
      <c r="AK30" s="9">
        <v>0</v>
      </c>
      <c r="AL30" s="9">
        <v>0</v>
      </c>
      <c r="AM30" s="9">
        <v>0</v>
      </c>
      <c r="AN30" s="9">
        <v>0</v>
      </c>
      <c r="AO30" s="9">
        <f t="shared" si="5"/>
        <v>0</v>
      </c>
      <c r="AP30" s="9">
        <v>0</v>
      </c>
      <c r="AQ30" s="9">
        <f t="shared" si="6"/>
        <v>0.7</v>
      </c>
      <c r="AR30" s="9">
        <v>6</v>
      </c>
      <c r="AS30" s="9">
        <v>0</v>
      </c>
      <c r="AT30" s="9">
        <v>0</v>
      </c>
      <c r="AU30" s="9">
        <v>0</v>
      </c>
      <c r="AV30" s="9">
        <v>0</v>
      </c>
      <c r="AW30" s="9">
        <v>20</v>
      </c>
      <c r="AX30" s="9">
        <v>0.2</v>
      </c>
      <c r="AY30" s="9">
        <v>0</v>
      </c>
      <c r="AZ30" s="9">
        <f t="shared" si="25"/>
        <v>0</v>
      </c>
      <c r="BA30" s="9">
        <v>0</v>
      </c>
      <c r="BB30" s="9">
        <v>0</v>
      </c>
      <c r="BC30" s="9">
        <v>0</v>
      </c>
      <c r="BD30" s="9">
        <v>0</v>
      </c>
      <c r="BE30" s="9">
        <v>6.5</v>
      </c>
      <c r="BF30" s="9">
        <f t="shared" si="8"/>
        <v>0.1</v>
      </c>
      <c r="BG30" s="9">
        <f t="shared" si="9"/>
        <v>1</v>
      </c>
      <c r="BH30" s="9">
        <v>8</v>
      </c>
      <c r="BI30" s="9">
        <f t="shared" si="10"/>
        <v>0.7</v>
      </c>
      <c r="BJ30" s="9">
        <v>8</v>
      </c>
      <c r="BK30" s="9">
        <v>0.86</v>
      </c>
      <c r="BL30" s="15">
        <v>7</v>
      </c>
      <c r="BM30" s="14">
        <v>0.33</v>
      </c>
      <c r="BN30" s="8">
        <v>0</v>
      </c>
      <c r="BO30" s="14">
        <v>0</v>
      </c>
      <c r="BP30" s="14">
        <f t="shared" si="11"/>
        <v>0.4</v>
      </c>
      <c r="BQ30" s="14">
        <v>0</v>
      </c>
      <c r="BR30" s="15">
        <v>0</v>
      </c>
      <c r="BS30" s="15">
        <f t="shared" si="12"/>
        <v>0.20600000000000002</v>
      </c>
      <c r="BT30" s="14">
        <v>0</v>
      </c>
      <c r="BU30" s="14">
        <v>0</v>
      </c>
      <c r="BV30" s="15">
        <v>58.1</v>
      </c>
      <c r="BW30" s="15">
        <v>6.8000000000000005E-2</v>
      </c>
      <c r="BX30" s="15">
        <f t="shared" si="13"/>
        <v>33.000000000000007</v>
      </c>
      <c r="BY30" s="14">
        <f t="shared" si="14"/>
        <v>0</v>
      </c>
      <c r="BZ30" s="14">
        <f t="shared" si="15"/>
        <v>0</v>
      </c>
      <c r="CA30" s="14">
        <f t="shared" si="16"/>
        <v>0</v>
      </c>
      <c r="CB30" s="14">
        <f t="shared" si="17"/>
        <v>33.000000000000007</v>
      </c>
      <c r="CC30" s="15">
        <f t="shared" si="18"/>
        <v>0.72099999999999997</v>
      </c>
      <c r="CD30" s="14">
        <f t="shared" si="19"/>
        <v>23.79</v>
      </c>
      <c r="CE30" s="14">
        <f t="shared" si="20"/>
        <v>0.82499999999999996</v>
      </c>
      <c r="CF30" s="14">
        <f t="shared" si="21"/>
        <v>19.63</v>
      </c>
      <c r="CG30" s="14">
        <f t="shared" si="22"/>
        <v>155</v>
      </c>
    </row>
    <row r="31" spans="1:85" ht="13.2" x14ac:dyDescent="0.25">
      <c r="A31" s="8">
        <v>403902</v>
      </c>
      <c r="B31" s="9" t="s">
        <v>123</v>
      </c>
      <c r="C31" s="9" t="s">
        <v>86</v>
      </c>
      <c r="D31" s="9">
        <v>1</v>
      </c>
      <c r="E31" s="9">
        <v>1</v>
      </c>
      <c r="F31" s="9">
        <v>0</v>
      </c>
      <c r="G31" s="9">
        <v>0</v>
      </c>
      <c r="H31" s="10">
        <v>16</v>
      </c>
      <c r="I31" s="9">
        <v>16</v>
      </c>
      <c r="J31" s="11">
        <f t="shared" si="0"/>
        <v>0.3</v>
      </c>
      <c r="K31" s="10">
        <v>390</v>
      </c>
      <c r="L31" s="11">
        <v>0.1</v>
      </c>
      <c r="M31" s="11">
        <v>1</v>
      </c>
      <c r="N31" s="11" t="s">
        <v>87</v>
      </c>
      <c r="O31" s="11">
        <v>1</v>
      </c>
      <c r="P31" s="12" t="s">
        <v>94</v>
      </c>
      <c r="Q31" s="12">
        <v>1</v>
      </c>
      <c r="R31" s="9">
        <v>30</v>
      </c>
      <c r="S31" s="10">
        <v>94</v>
      </c>
      <c r="T31" s="10">
        <v>30</v>
      </c>
      <c r="U31" s="10">
        <f t="shared" si="1"/>
        <v>0.5</v>
      </c>
      <c r="V31" s="10">
        <v>156.63</v>
      </c>
      <c r="W31" s="10">
        <f t="shared" si="2"/>
        <v>0.7</v>
      </c>
      <c r="X31" s="10">
        <v>28</v>
      </c>
      <c r="Y31" s="10">
        <v>26</v>
      </c>
      <c r="Z31" s="10">
        <v>0</v>
      </c>
      <c r="AA31" s="10">
        <v>2</v>
      </c>
      <c r="AB31" s="9">
        <v>8.75</v>
      </c>
      <c r="AC31" s="9">
        <f t="shared" si="3"/>
        <v>3</v>
      </c>
      <c r="AD31" s="9">
        <v>1.5</v>
      </c>
      <c r="AE31" s="9">
        <v>0.7</v>
      </c>
      <c r="AF31" s="9">
        <v>1.7500000000000002E-2</v>
      </c>
      <c r="AG31" s="9">
        <v>7</v>
      </c>
      <c r="AH31" s="9">
        <v>0.5</v>
      </c>
      <c r="AI31" s="13">
        <v>70</v>
      </c>
      <c r="AJ31" s="9">
        <f t="shared" si="4"/>
        <v>0.8</v>
      </c>
      <c r="AK31" s="9">
        <v>5</v>
      </c>
      <c r="AL31" s="9">
        <v>19</v>
      </c>
      <c r="AM31" s="9">
        <v>9.3699999999999992</v>
      </c>
      <c r="AN31" s="9">
        <v>0.4</v>
      </c>
      <c r="AO31" s="9">
        <v>0.9</v>
      </c>
      <c r="AP31" s="9">
        <v>8.5</v>
      </c>
      <c r="AQ31" s="9">
        <f t="shared" si="6"/>
        <v>0.4</v>
      </c>
      <c r="AR31" s="9">
        <v>4.5</v>
      </c>
      <c r="AS31" s="9">
        <v>0.5</v>
      </c>
      <c r="AT31" s="9">
        <v>0.33</v>
      </c>
      <c r="AU31" s="9">
        <v>45</v>
      </c>
      <c r="AV31" s="9">
        <v>0.9</v>
      </c>
      <c r="AW31" s="9">
        <v>31</v>
      </c>
      <c r="AX31" s="9">
        <v>0.3</v>
      </c>
      <c r="AY31" s="9">
        <v>0</v>
      </c>
      <c r="AZ31" s="9">
        <v>0</v>
      </c>
      <c r="BA31" s="9">
        <v>0</v>
      </c>
      <c r="BB31" s="9">
        <v>0</v>
      </c>
      <c r="BC31" s="9">
        <v>19</v>
      </c>
      <c r="BD31" s="9">
        <v>35.6</v>
      </c>
      <c r="BE31" s="9">
        <v>7</v>
      </c>
      <c r="BF31" s="9">
        <f t="shared" si="8"/>
        <v>0.3</v>
      </c>
      <c r="BG31" s="9">
        <f t="shared" si="9"/>
        <v>2</v>
      </c>
      <c r="BH31" s="9">
        <v>6</v>
      </c>
      <c r="BI31" s="9">
        <f t="shared" si="10"/>
        <v>0</v>
      </c>
      <c r="BJ31" s="9">
        <v>9</v>
      </c>
      <c r="BK31" s="9">
        <v>1</v>
      </c>
      <c r="BL31" s="15">
        <v>6</v>
      </c>
      <c r="BM31" s="14">
        <v>0</v>
      </c>
      <c r="BN31" s="8">
        <v>0</v>
      </c>
      <c r="BO31" s="14">
        <v>0</v>
      </c>
      <c r="BP31" s="14">
        <f t="shared" si="11"/>
        <v>0.4</v>
      </c>
      <c r="BQ31" s="14">
        <v>0.3</v>
      </c>
      <c r="BR31" s="15">
        <v>0</v>
      </c>
      <c r="BS31" s="15">
        <f t="shared" si="12"/>
        <v>0.51500000000000001</v>
      </c>
      <c r="BT31" s="14">
        <v>0</v>
      </c>
      <c r="BU31" s="14">
        <v>0</v>
      </c>
      <c r="BV31" s="15">
        <v>64.900000000000006</v>
      </c>
      <c r="BW31" s="15">
        <v>7.5999999999999998E-2</v>
      </c>
      <c r="BX31" s="15">
        <f t="shared" si="13"/>
        <v>35.000000000000007</v>
      </c>
      <c r="BY31" s="14">
        <f t="shared" si="14"/>
        <v>46.900000000000006</v>
      </c>
      <c r="BZ31" s="14">
        <f t="shared" si="15"/>
        <v>0</v>
      </c>
      <c r="CA31" s="14">
        <f t="shared" si="16"/>
        <v>0</v>
      </c>
      <c r="CB31" s="14">
        <f t="shared" si="17"/>
        <v>81.900000000000006</v>
      </c>
      <c r="CC31" s="15">
        <f t="shared" si="18"/>
        <v>0.752</v>
      </c>
      <c r="CD31" s="14">
        <f t="shared" si="19"/>
        <v>61.59</v>
      </c>
      <c r="CE31" s="14">
        <f t="shared" si="20"/>
        <v>0.82</v>
      </c>
      <c r="CF31" s="14">
        <f t="shared" si="21"/>
        <v>50.5</v>
      </c>
      <c r="CG31" s="14">
        <f t="shared" si="22"/>
        <v>25</v>
      </c>
    </row>
    <row r="32" spans="1:85" ht="13.2" x14ac:dyDescent="0.25">
      <c r="A32" s="8">
        <v>230558</v>
      </c>
      <c r="B32" s="9" t="s">
        <v>124</v>
      </c>
      <c r="C32" s="9" t="s">
        <v>86</v>
      </c>
      <c r="D32" s="9">
        <v>1</v>
      </c>
      <c r="E32" s="9">
        <v>0</v>
      </c>
      <c r="F32" s="9">
        <v>0</v>
      </c>
      <c r="G32" s="9">
        <v>0</v>
      </c>
      <c r="H32" s="10">
        <v>19</v>
      </c>
      <c r="I32" s="9">
        <v>24</v>
      </c>
      <c r="J32" s="11">
        <f t="shared" si="0"/>
        <v>0.3</v>
      </c>
      <c r="K32" s="10">
        <v>438</v>
      </c>
      <c r="L32" s="11">
        <v>0.2</v>
      </c>
      <c r="M32" s="11">
        <v>0</v>
      </c>
      <c r="N32" s="11" t="s">
        <v>90</v>
      </c>
      <c r="O32" s="11">
        <v>2</v>
      </c>
      <c r="P32" s="12" t="s">
        <v>88</v>
      </c>
      <c r="Q32" s="12">
        <v>0</v>
      </c>
      <c r="R32" s="9">
        <v>32</v>
      </c>
      <c r="S32" s="10">
        <v>74</v>
      </c>
      <c r="T32" s="10">
        <v>24.33</v>
      </c>
      <c r="U32" s="10">
        <f t="shared" si="1"/>
        <v>0.4</v>
      </c>
      <c r="V32" s="10">
        <v>133.54</v>
      </c>
      <c r="W32" s="10">
        <f t="shared" si="2"/>
        <v>0.5</v>
      </c>
      <c r="X32" s="10">
        <v>47</v>
      </c>
      <c r="Y32" s="10">
        <v>16</v>
      </c>
      <c r="Z32" s="10">
        <v>0</v>
      </c>
      <c r="AA32" s="10">
        <v>2</v>
      </c>
      <c r="AB32" s="9">
        <v>8.5</v>
      </c>
      <c r="AC32" s="9">
        <f t="shared" si="3"/>
        <v>3</v>
      </c>
      <c r="AD32" s="9">
        <v>0.5</v>
      </c>
      <c r="AE32" s="9">
        <v>0.5</v>
      </c>
      <c r="AF32" s="9">
        <v>1.2500000000000001E-2</v>
      </c>
      <c r="AG32" s="9">
        <v>6.5</v>
      </c>
      <c r="AH32" s="9">
        <v>0.438</v>
      </c>
      <c r="AI32" s="13">
        <v>65</v>
      </c>
      <c r="AJ32" s="9">
        <f t="shared" si="4"/>
        <v>0.8</v>
      </c>
      <c r="AK32" s="9">
        <v>0</v>
      </c>
      <c r="AL32" s="9">
        <v>0</v>
      </c>
      <c r="AM32" s="9">
        <v>0</v>
      </c>
      <c r="AN32" s="9">
        <v>0</v>
      </c>
      <c r="AO32" s="9">
        <f t="shared" ref="AO32:AO34" si="26">ROUND((AP32 - MIN($AP$2:$AP2050)) / (MAX($AP$2:$AP2050) - MIN($AP$2:$AP2050)), 1)</f>
        <v>0</v>
      </c>
      <c r="AP32" s="9">
        <v>0</v>
      </c>
      <c r="AQ32" s="9">
        <f t="shared" si="6"/>
        <v>0.3</v>
      </c>
      <c r="AR32" s="9">
        <v>3.5</v>
      </c>
      <c r="AS32" s="9">
        <v>0</v>
      </c>
      <c r="AT32" s="9">
        <v>0</v>
      </c>
      <c r="AU32" s="9">
        <v>0</v>
      </c>
      <c r="AV32" s="9">
        <v>0</v>
      </c>
      <c r="AW32" s="9">
        <v>45</v>
      </c>
      <c r="AX32" s="9">
        <v>0.5</v>
      </c>
      <c r="AY32" s="9">
        <v>0</v>
      </c>
      <c r="AZ32" s="9">
        <f t="shared" ref="AZ32:AZ34" si="27">(AP32 - MIN($AP$2:$AP$964)) / (MAX($AP$2:$AP$964) - MIN($AP$2:$AP$964))</f>
        <v>0</v>
      </c>
      <c r="BA32" s="9">
        <v>0</v>
      </c>
      <c r="BB32" s="9">
        <v>0</v>
      </c>
      <c r="BC32" s="9">
        <v>0</v>
      </c>
      <c r="BD32" s="9">
        <v>0</v>
      </c>
      <c r="BE32" s="9">
        <v>6.5</v>
      </c>
      <c r="BF32" s="9">
        <f t="shared" si="8"/>
        <v>0.1</v>
      </c>
      <c r="BG32" s="9">
        <f t="shared" si="9"/>
        <v>1</v>
      </c>
      <c r="BH32" s="9">
        <v>7</v>
      </c>
      <c r="BI32" s="9">
        <f t="shared" si="10"/>
        <v>0.3</v>
      </c>
      <c r="BJ32" s="9">
        <v>8</v>
      </c>
      <c r="BK32" s="9">
        <v>0.86</v>
      </c>
      <c r="BL32" s="15">
        <v>7</v>
      </c>
      <c r="BM32" s="14">
        <v>0.33</v>
      </c>
      <c r="BN32" s="8">
        <v>0</v>
      </c>
      <c r="BO32" s="14">
        <v>0</v>
      </c>
      <c r="BP32" s="14">
        <f t="shared" si="11"/>
        <v>0.4</v>
      </c>
      <c r="BQ32" s="14">
        <v>0</v>
      </c>
      <c r="BR32" s="15">
        <v>0</v>
      </c>
      <c r="BS32" s="15">
        <f t="shared" si="12"/>
        <v>0.19400000000000001</v>
      </c>
      <c r="BT32" s="14">
        <v>0</v>
      </c>
      <c r="BU32" s="14">
        <v>0</v>
      </c>
      <c r="BV32" s="15">
        <v>58.6</v>
      </c>
      <c r="BW32" s="15">
        <v>6.9000000000000006E-2</v>
      </c>
      <c r="BX32" s="15">
        <f t="shared" si="13"/>
        <v>34.5</v>
      </c>
      <c r="BY32" s="14">
        <f t="shared" si="14"/>
        <v>0</v>
      </c>
      <c r="BZ32" s="14">
        <f t="shared" si="15"/>
        <v>0</v>
      </c>
      <c r="CA32" s="14">
        <f t="shared" si="16"/>
        <v>0</v>
      </c>
      <c r="CB32" s="14">
        <f t="shared" si="17"/>
        <v>34.5</v>
      </c>
      <c r="CC32" s="15">
        <f t="shared" si="18"/>
        <v>0.71899999999999997</v>
      </c>
      <c r="CD32" s="14">
        <f t="shared" si="19"/>
        <v>24.81</v>
      </c>
      <c r="CE32" s="14">
        <f t="shared" si="20"/>
        <v>0.92500000000000004</v>
      </c>
      <c r="CF32" s="14">
        <f t="shared" si="21"/>
        <v>22.95</v>
      </c>
      <c r="CG32" s="14">
        <f t="shared" si="22"/>
        <v>140</v>
      </c>
    </row>
    <row r="33" spans="1:85" ht="13.2" x14ac:dyDescent="0.25">
      <c r="A33" s="8">
        <v>559235</v>
      </c>
      <c r="B33" s="9" t="s">
        <v>125</v>
      </c>
      <c r="C33" s="9" t="s">
        <v>86</v>
      </c>
      <c r="D33" s="9">
        <v>1</v>
      </c>
      <c r="E33" s="9">
        <v>0</v>
      </c>
      <c r="F33" s="9">
        <v>0</v>
      </c>
      <c r="G33" s="9">
        <v>0</v>
      </c>
      <c r="H33" s="10">
        <v>14</v>
      </c>
      <c r="I33" s="9">
        <v>19</v>
      </c>
      <c r="J33" s="11">
        <f t="shared" si="0"/>
        <v>0.3</v>
      </c>
      <c r="K33" s="10">
        <v>354</v>
      </c>
      <c r="L33" s="11">
        <v>0.2</v>
      </c>
      <c r="M33" s="11">
        <v>0</v>
      </c>
      <c r="N33" s="11" t="s">
        <v>90</v>
      </c>
      <c r="O33" s="11">
        <v>2</v>
      </c>
      <c r="P33" s="12" t="s">
        <v>88</v>
      </c>
      <c r="Q33" s="12">
        <v>0</v>
      </c>
      <c r="R33" s="9">
        <v>34</v>
      </c>
      <c r="S33" s="10">
        <v>68</v>
      </c>
      <c r="T33" s="10">
        <v>44.25</v>
      </c>
      <c r="U33" s="10">
        <f t="shared" si="1"/>
        <v>0.8</v>
      </c>
      <c r="V33" s="10">
        <v>164.65</v>
      </c>
      <c r="W33" s="10">
        <f t="shared" si="2"/>
        <v>0.7</v>
      </c>
      <c r="X33" s="10">
        <v>28</v>
      </c>
      <c r="Y33" s="10">
        <v>21</v>
      </c>
      <c r="Z33" s="10">
        <v>0</v>
      </c>
      <c r="AA33" s="10">
        <v>2</v>
      </c>
      <c r="AB33" s="9">
        <v>0.2</v>
      </c>
      <c r="AC33" s="9">
        <f t="shared" si="3"/>
        <v>1</v>
      </c>
      <c r="AD33" s="9">
        <v>2</v>
      </c>
      <c r="AE33" s="9">
        <v>0.6</v>
      </c>
      <c r="AF33" s="9">
        <v>1.4999999999999999E-2</v>
      </c>
      <c r="AG33" s="9">
        <v>7</v>
      </c>
      <c r="AH33" s="9">
        <v>0.35699999999999998</v>
      </c>
      <c r="AI33" s="13">
        <v>40</v>
      </c>
      <c r="AJ33" s="9">
        <f t="shared" si="4"/>
        <v>0.4</v>
      </c>
      <c r="AK33" s="9">
        <v>0</v>
      </c>
      <c r="AL33" s="9">
        <v>0</v>
      </c>
      <c r="AM33" s="9">
        <v>0</v>
      </c>
      <c r="AN33" s="9">
        <v>0</v>
      </c>
      <c r="AO33" s="9">
        <f t="shared" si="26"/>
        <v>0</v>
      </c>
      <c r="AP33" s="9">
        <v>0</v>
      </c>
      <c r="AQ33" s="9">
        <f t="shared" si="6"/>
        <v>0.2</v>
      </c>
      <c r="AR33" s="9">
        <v>3</v>
      </c>
      <c r="AS33" s="9">
        <v>0</v>
      </c>
      <c r="AT33" s="9">
        <v>0</v>
      </c>
      <c r="AU33" s="9">
        <v>0</v>
      </c>
      <c r="AV33" s="9">
        <v>0</v>
      </c>
      <c r="AW33" s="9">
        <v>50</v>
      </c>
      <c r="AX33" s="9">
        <v>0.5</v>
      </c>
      <c r="AY33" s="9">
        <v>0</v>
      </c>
      <c r="AZ33" s="9">
        <f t="shared" si="27"/>
        <v>0</v>
      </c>
      <c r="BA33" s="9">
        <v>0</v>
      </c>
      <c r="BB33" s="9">
        <v>0</v>
      </c>
      <c r="BC33" s="9">
        <v>0</v>
      </c>
      <c r="BD33" s="9">
        <v>0</v>
      </c>
      <c r="BE33" s="9">
        <v>7</v>
      </c>
      <c r="BF33" s="9">
        <f t="shared" si="8"/>
        <v>0.3</v>
      </c>
      <c r="BG33" s="9">
        <f t="shared" si="9"/>
        <v>2</v>
      </c>
      <c r="BH33" s="9">
        <v>6</v>
      </c>
      <c r="BI33" s="9">
        <f t="shared" si="10"/>
        <v>0</v>
      </c>
      <c r="BJ33" s="9">
        <v>7</v>
      </c>
      <c r="BK33" s="9">
        <v>0.71</v>
      </c>
      <c r="BL33" s="15">
        <v>7</v>
      </c>
      <c r="BM33" s="14">
        <v>0.33</v>
      </c>
      <c r="BN33" s="8">
        <v>0</v>
      </c>
      <c r="BO33" s="14">
        <v>0</v>
      </c>
      <c r="BP33" s="14">
        <f t="shared" si="11"/>
        <v>0.5</v>
      </c>
      <c r="BQ33" s="14">
        <v>0</v>
      </c>
      <c r="BR33" s="15">
        <v>0</v>
      </c>
      <c r="BS33" s="15">
        <f t="shared" si="12"/>
        <v>0.16200000000000001</v>
      </c>
      <c r="BT33" s="14">
        <v>0</v>
      </c>
      <c r="BU33" s="14">
        <v>0</v>
      </c>
      <c r="BV33" s="15">
        <v>49.45</v>
      </c>
      <c r="BW33" s="15">
        <v>5.8999999999999997E-2</v>
      </c>
      <c r="BX33" s="15">
        <f t="shared" si="13"/>
        <v>43.499999999999993</v>
      </c>
      <c r="BY33" s="14">
        <f t="shared" si="14"/>
        <v>0</v>
      </c>
      <c r="BZ33" s="14">
        <f t="shared" si="15"/>
        <v>0</v>
      </c>
      <c r="CA33" s="14">
        <f t="shared" si="16"/>
        <v>0</v>
      </c>
      <c r="CB33" s="14">
        <f t="shared" si="17"/>
        <v>43.499999999999993</v>
      </c>
      <c r="CC33" s="15">
        <f t="shared" si="18"/>
        <v>0.71599999999999997</v>
      </c>
      <c r="CD33" s="14">
        <f t="shared" si="19"/>
        <v>31.15</v>
      </c>
      <c r="CE33" s="14">
        <f t="shared" si="20"/>
        <v>0.95</v>
      </c>
      <c r="CF33" s="14">
        <f t="shared" si="21"/>
        <v>29.59</v>
      </c>
      <c r="CG33" s="14">
        <f t="shared" si="22"/>
        <v>105</v>
      </c>
    </row>
    <row r="34" spans="1:85" ht="13.2" x14ac:dyDescent="0.25">
      <c r="A34" s="8">
        <v>1250290</v>
      </c>
      <c r="B34" s="9" t="s">
        <v>126</v>
      </c>
      <c r="C34" s="9" t="s">
        <v>86</v>
      </c>
      <c r="D34" s="9">
        <v>1</v>
      </c>
      <c r="E34" s="9">
        <v>0</v>
      </c>
      <c r="F34" s="9">
        <v>0</v>
      </c>
      <c r="G34" s="9">
        <v>0</v>
      </c>
      <c r="H34" s="10">
        <v>23</v>
      </c>
      <c r="I34" s="9">
        <v>14</v>
      </c>
      <c r="J34" s="11">
        <f t="shared" si="0"/>
        <v>0.4</v>
      </c>
      <c r="K34" s="10">
        <v>501</v>
      </c>
      <c r="L34" s="11">
        <v>0.2</v>
      </c>
      <c r="M34" s="11">
        <v>0</v>
      </c>
      <c r="N34" s="11" t="s">
        <v>96</v>
      </c>
      <c r="O34" s="11">
        <v>3</v>
      </c>
      <c r="P34" s="12" t="s">
        <v>101</v>
      </c>
      <c r="Q34" s="12">
        <v>1</v>
      </c>
      <c r="R34" s="9">
        <v>32</v>
      </c>
      <c r="S34" s="10">
        <v>55</v>
      </c>
      <c r="T34" s="10">
        <v>35.79</v>
      </c>
      <c r="U34" s="10">
        <f t="shared" si="1"/>
        <v>0.6</v>
      </c>
      <c r="V34" s="10">
        <v>149.11000000000001</v>
      </c>
      <c r="W34" s="10">
        <f t="shared" si="2"/>
        <v>0.6</v>
      </c>
      <c r="X34" s="10">
        <v>41</v>
      </c>
      <c r="Y34" s="10">
        <v>22</v>
      </c>
      <c r="Z34" s="10">
        <v>0</v>
      </c>
      <c r="AA34" s="10">
        <v>1</v>
      </c>
      <c r="AB34" s="9">
        <v>3</v>
      </c>
      <c r="AC34" s="9">
        <f t="shared" si="3"/>
        <v>3</v>
      </c>
      <c r="AD34" s="9">
        <v>1</v>
      </c>
      <c r="AE34" s="9">
        <v>0.7</v>
      </c>
      <c r="AF34" s="9">
        <v>1.7500000000000002E-2</v>
      </c>
      <c r="AG34" s="9">
        <v>7.5</v>
      </c>
      <c r="AH34" s="9">
        <v>0.3</v>
      </c>
      <c r="AI34" s="13">
        <v>70</v>
      </c>
      <c r="AJ34" s="9">
        <f t="shared" si="4"/>
        <v>0.8</v>
      </c>
      <c r="AK34" s="9">
        <v>0</v>
      </c>
      <c r="AL34" s="9">
        <v>0</v>
      </c>
      <c r="AM34" s="9">
        <v>0</v>
      </c>
      <c r="AN34" s="9">
        <v>0</v>
      </c>
      <c r="AO34" s="9">
        <f t="shared" si="26"/>
        <v>0</v>
      </c>
      <c r="AP34" s="9">
        <v>0</v>
      </c>
      <c r="AQ34" s="9">
        <f t="shared" si="6"/>
        <v>0.7</v>
      </c>
      <c r="AR34" s="9">
        <v>6</v>
      </c>
      <c r="AS34" s="9">
        <v>0</v>
      </c>
      <c r="AT34" s="9">
        <v>0</v>
      </c>
      <c r="AU34" s="9">
        <v>0</v>
      </c>
      <c r="AV34" s="9">
        <v>0</v>
      </c>
      <c r="AW34" s="12">
        <v>43</v>
      </c>
      <c r="AX34" s="9">
        <v>0.4</v>
      </c>
      <c r="AY34" s="9">
        <v>0</v>
      </c>
      <c r="AZ34" s="9">
        <f t="shared" si="27"/>
        <v>0</v>
      </c>
      <c r="BA34" s="9">
        <v>0</v>
      </c>
      <c r="BB34" s="9">
        <v>0</v>
      </c>
      <c r="BC34" s="9">
        <v>0</v>
      </c>
      <c r="BD34" s="9">
        <v>0</v>
      </c>
      <c r="BE34" s="9">
        <v>7.5</v>
      </c>
      <c r="BF34" s="9">
        <f t="shared" si="8"/>
        <v>0.4</v>
      </c>
      <c r="BG34" s="9">
        <f t="shared" si="9"/>
        <v>1</v>
      </c>
      <c r="BH34" s="9">
        <v>6</v>
      </c>
      <c r="BI34" s="9">
        <f t="shared" si="10"/>
        <v>0</v>
      </c>
      <c r="BJ34" s="9">
        <v>8</v>
      </c>
      <c r="BK34" s="9">
        <v>0.86</v>
      </c>
      <c r="BL34" s="15">
        <v>6</v>
      </c>
      <c r="BM34" s="14">
        <v>0</v>
      </c>
      <c r="BN34" s="8">
        <v>0</v>
      </c>
      <c r="BO34" s="14">
        <v>0</v>
      </c>
      <c r="BP34" s="14">
        <f t="shared" si="11"/>
        <v>0.5</v>
      </c>
      <c r="BQ34" s="14">
        <v>0</v>
      </c>
      <c r="BR34" s="15">
        <v>0</v>
      </c>
      <c r="BS34" s="15">
        <f t="shared" si="12"/>
        <v>0.218</v>
      </c>
      <c r="BT34" s="14">
        <v>0</v>
      </c>
      <c r="BU34" s="14">
        <v>0</v>
      </c>
      <c r="BV34" s="15">
        <v>60.5</v>
      </c>
      <c r="BW34" s="15">
        <v>7.0999999999999994E-2</v>
      </c>
      <c r="BX34" s="15">
        <f t="shared" si="13"/>
        <v>42.000000000000007</v>
      </c>
      <c r="BY34" s="14">
        <f t="shared" si="14"/>
        <v>0</v>
      </c>
      <c r="BZ34" s="14">
        <f t="shared" si="15"/>
        <v>0</v>
      </c>
      <c r="CA34" s="14">
        <f t="shared" si="16"/>
        <v>0</v>
      </c>
      <c r="CB34" s="14">
        <f t="shared" si="17"/>
        <v>42.000000000000007</v>
      </c>
      <c r="CC34" s="15">
        <f t="shared" si="18"/>
        <v>0.72199999999999998</v>
      </c>
      <c r="CD34" s="14">
        <f t="shared" si="19"/>
        <v>30.32</v>
      </c>
      <c r="CE34" s="14">
        <f t="shared" si="20"/>
        <v>0.82499999999999996</v>
      </c>
      <c r="CF34" s="14">
        <f t="shared" si="21"/>
        <v>25.01</v>
      </c>
      <c r="CG34" s="14">
        <f t="shared" si="22"/>
        <v>127</v>
      </c>
    </row>
    <row r="35" spans="1:85" ht="13.2" x14ac:dyDescent="0.25">
      <c r="A35" s="8">
        <v>321777</v>
      </c>
      <c r="B35" s="9" t="s">
        <v>127</v>
      </c>
      <c r="C35" s="9" t="s">
        <v>86</v>
      </c>
      <c r="D35" s="9">
        <v>1</v>
      </c>
      <c r="E35" s="9">
        <v>0</v>
      </c>
      <c r="F35" s="9">
        <v>1</v>
      </c>
      <c r="G35" s="9">
        <v>0</v>
      </c>
      <c r="H35" s="10">
        <v>28</v>
      </c>
      <c r="I35" s="9">
        <v>23</v>
      </c>
      <c r="J35" s="11">
        <f t="shared" si="0"/>
        <v>0.5</v>
      </c>
      <c r="K35" s="10">
        <v>707</v>
      </c>
      <c r="L35" s="11">
        <v>0.2</v>
      </c>
      <c r="M35" s="11">
        <v>0</v>
      </c>
      <c r="N35" s="11" t="s">
        <v>90</v>
      </c>
      <c r="O35" s="11">
        <v>2</v>
      </c>
      <c r="P35" s="12" t="s">
        <v>103</v>
      </c>
      <c r="Q35" s="12">
        <v>1</v>
      </c>
      <c r="R35" s="9">
        <v>30</v>
      </c>
      <c r="S35" s="10">
        <v>78</v>
      </c>
      <c r="T35" s="10">
        <v>41.59</v>
      </c>
      <c r="U35" s="10">
        <f t="shared" si="1"/>
        <v>0.7</v>
      </c>
      <c r="V35" s="10">
        <v>153.69999999999999</v>
      </c>
      <c r="W35" s="10">
        <f t="shared" si="2"/>
        <v>0.6</v>
      </c>
      <c r="X35" s="10">
        <v>62</v>
      </c>
      <c r="Y35" s="10">
        <v>32</v>
      </c>
      <c r="Z35" s="10">
        <v>1</v>
      </c>
      <c r="AA35" s="10">
        <v>2</v>
      </c>
      <c r="AB35" s="9">
        <v>17.5</v>
      </c>
      <c r="AC35" s="9">
        <f t="shared" si="3"/>
        <v>3</v>
      </c>
      <c r="AD35" s="9">
        <v>2</v>
      </c>
      <c r="AE35" s="9">
        <v>0.7</v>
      </c>
      <c r="AF35" s="9">
        <v>1.7500000000000002E-2</v>
      </c>
      <c r="AG35" s="9">
        <v>7</v>
      </c>
      <c r="AH35" s="9">
        <v>2.5000000000000001E-2</v>
      </c>
      <c r="AI35" s="13">
        <v>65</v>
      </c>
      <c r="AJ35" s="9">
        <f t="shared" si="4"/>
        <v>0.8</v>
      </c>
      <c r="AK35" s="9">
        <v>14</v>
      </c>
      <c r="AL35" s="9">
        <v>10</v>
      </c>
      <c r="AM35" s="9">
        <v>8.1</v>
      </c>
      <c r="AN35" s="9">
        <v>0.5</v>
      </c>
      <c r="AO35" s="9">
        <v>0</v>
      </c>
      <c r="AP35" s="9">
        <v>6</v>
      </c>
      <c r="AQ35" s="9">
        <f t="shared" si="6"/>
        <v>0.2</v>
      </c>
      <c r="AR35" s="9">
        <v>3</v>
      </c>
      <c r="AS35" s="9">
        <v>1</v>
      </c>
      <c r="AT35" s="9">
        <v>0.67</v>
      </c>
      <c r="AU35" s="9">
        <v>32</v>
      </c>
      <c r="AV35" s="9">
        <v>0.5</v>
      </c>
      <c r="AW35" s="12">
        <v>52</v>
      </c>
      <c r="AX35" s="9">
        <v>0.5</v>
      </c>
      <c r="AY35" s="9">
        <v>0</v>
      </c>
      <c r="AZ35" s="9">
        <v>0</v>
      </c>
      <c r="BA35" s="9">
        <v>0</v>
      </c>
      <c r="BB35" s="9">
        <v>0</v>
      </c>
      <c r="BC35" s="9">
        <v>38</v>
      </c>
      <c r="BD35" s="9">
        <v>23.5</v>
      </c>
      <c r="BE35" s="9">
        <v>7.3</v>
      </c>
      <c r="BF35" s="9">
        <f t="shared" si="8"/>
        <v>0.3</v>
      </c>
      <c r="BG35" s="9">
        <f t="shared" si="9"/>
        <v>1</v>
      </c>
      <c r="BH35" s="9">
        <v>7</v>
      </c>
      <c r="BI35" s="9">
        <f t="shared" si="10"/>
        <v>0.3</v>
      </c>
      <c r="BJ35" s="9">
        <v>7</v>
      </c>
      <c r="BK35" s="9">
        <v>0.71</v>
      </c>
      <c r="BL35" s="15">
        <v>7</v>
      </c>
      <c r="BM35" s="14">
        <v>0.33</v>
      </c>
      <c r="BN35" s="8">
        <v>15.4</v>
      </c>
      <c r="BO35" s="14">
        <v>0</v>
      </c>
      <c r="BP35" s="14">
        <f t="shared" si="11"/>
        <v>0.5</v>
      </c>
      <c r="BQ35" s="14">
        <v>0</v>
      </c>
      <c r="BR35" s="15">
        <v>0.49</v>
      </c>
      <c r="BS35" s="15">
        <v>37.1</v>
      </c>
      <c r="BT35" s="14">
        <v>0</v>
      </c>
      <c r="BU35" s="14">
        <v>0</v>
      </c>
      <c r="BV35" s="15">
        <v>621.80999999999995</v>
      </c>
      <c r="BW35" s="15">
        <v>0.67800000000000005</v>
      </c>
      <c r="BX35" s="15">
        <f t="shared" si="13"/>
        <v>41.999999999999993</v>
      </c>
      <c r="BY35" s="14">
        <f t="shared" si="14"/>
        <v>0</v>
      </c>
      <c r="BZ35" s="14">
        <f t="shared" si="15"/>
        <v>59.582999999999998</v>
      </c>
      <c r="CA35" s="14">
        <f t="shared" si="16"/>
        <v>0</v>
      </c>
      <c r="CB35" s="14">
        <f t="shared" si="17"/>
        <v>101.583</v>
      </c>
      <c r="CC35" s="15">
        <f t="shared" si="18"/>
        <v>4.508</v>
      </c>
      <c r="CD35" s="14">
        <f t="shared" si="19"/>
        <v>457.94</v>
      </c>
      <c r="CE35" s="14">
        <f t="shared" si="20"/>
        <v>0.92</v>
      </c>
      <c r="CF35" s="14">
        <f t="shared" si="21"/>
        <v>421.3</v>
      </c>
      <c r="CG35" s="14">
        <f t="shared" si="22"/>
        <v>1</v>
      </c>
    </row>
    <row r="36" spans="1:85" ht="13.2" x14ac:dyDescent="0.25">
      <c r="A36" s="8">
        <v>1168045</v>
      </c>
      <c r="B36" s="9" t="s">
        <v>128</v>
      </c>
      <c r="C36" s="9" t="s">
        <v>86</v>
      </c>
      <c r="D36" s="9">
        <v>1</v>
      </c>
      <c r="E36" s="9">
        <v>0</v>
      </c>
      <c r="F36" s="9">
        <v>0</v>
      </c>
      <c r="G36" s="9">
        <v>1</v>
      </c>
      <c r="H36" s="10">
        <v>29</v>
      </c>
      <c r="I36" s="9">
        <v>28</v>
      </c>
      <c r="J36" s="11">
        <f t="shared" si="0"/>
        <v>0.6</v>
      </c>
      <c r="K36" s="10">
        <v>774</v>
      </c>
      <c r="L36" s="11">
        <v>0.2</v>
      </c>
      <c r="M36" s="11">
        <v>0</v>
      </c>
      <c r="N36" s="11" t="s">
        <v>87</v>
      </c>
      <c r="O36" s="11">
        <v>2</v>
      </c>
      <c r="P36" s="12" t="s">
        <v>88</v>
      </c>
      <c r="Q36" s="12">
        <v>0</v>
      </c>
      <c r="R36" s="9">
        <v>35</v>
      </c>
      <c r="S36" s="10">
        <v>75</v>
      </c>
      <c r="T36" s="10">
        <v>26.69</v>
      </c>
      <c r="U36" s="10">
        <f t="shared" si="1"/>
        <v>0.5</v>
      </c>
      <c r="V36" s="10">
        <v>145.22</v>
      </c>
      <c r="W36" s="10">
        <f t="shared" si="2"/>
        <v>0.6</v>
      </c>
      <c r="X36" s="10">
        <v>89</v>
      </c>
      <c r="Y36" s="10">
        <v>34</v>
      </c>
      <c r="Z36" s="10">
        <v>0</v>
      </c>
      <c r="AA36" s="10">
        <v>4</v>
      </c>
      <c r="AB36" s="9">
        <v>15.25</v>
      </c>
      <c r="AC36" s="9">
        <f t="shared" si="3"/>
        <v>3</v>
      </c>
      <c r="AD36" s="9">
        <v>2</v>
      </c>
      <c r="AE36" s="9">
        <v>0.7</v>
      </c>
      <c r="AF36" s="9">
        <v>1.7500000000000002E-2</v>
      </c>
      <c r="AG36" s="9">
        <v>7</v>
      </c>
      <c r="AH36" s="9">
        <v>0.125</v>
      </c>
      <c r="AI36" s="13">
        <v>60</v>
      </c>
      <c r="AJ36" s="9">
        <f t="shared" si="4"/>
        <v>0.7</v>
      </c>
      <c r="AK36" s="9">
        <v>0</v>
      </c>
      <c r="AL36" s="9">
        <v>0</v>
      </c>
      <c r="AM36" s="9">
        <v>0</v>
      </c>
      <c r="AN36" s="9">
        <v>0</v>
      </c>
      <c r="AO36" s="9">
        <f t="shared" ref="AO36:AO62" si="28">ROUND((AP36 - MIN($AP$2:$AP2050)) / (MAX($AP$2:$AP2050) - MIN($AP$2:$AP2050)), 1)</f>
        <v>0</v>
      </c>
      <c r="AP36" s="9">
        <v>0</v>
      </c>
      <c r="AQ36" s="9">
        <f t="shared" si="6"/>
        <v>0.3</v>
      </c>
      <c r="AR36" s="9">
        <v>3.5</v>
      </c>
      <c r="AS36" s="9">
        <v>0</v>
      </c>
      <c r="AT36" s="9">
        <v>0</v>
      </c>
      <c r="AU36" s="9">
        <v>0</v>
      </c>
      <c r="AV36" s="9">
        <v>0</v>
      </c>
      <c r="AW36" s="12">
        <v>30</v>
      </c>
      <c r="AX36" s="9">
        <v>0.3</v>
      </c>
      <c r="AY36" s="9">
        <v>7</v>
      </c>
      <c r="AZ36" s="9">
        <v>0.43</v>
      </c>
      <c r="BA36" s="9">
        <v>0</v>
      </c>
      <c r="BB36" s="9">
        <v>0</v>
      </c>
      <c r="BC36" s="9">
        <v>0</v>
      </c>
      <c r="BD36" s="9">
        <v>0</v>
      </c>
      <c r="BE36" s="9">
        <v>7</v>
      </c>
      <c r="BF36" s="9">
        <f t="shared" si="8"/>
        <v>0.3</v>
      </c>
      <c r="BG36" s="9">
        <f t="shared" si="9"/>
        <v>1</v>
      </c>
      <c r="BH36" s="9">
        <v>8</v>
      </c>
      <c r="BI36" s="9">
        <f t="shared" si="10"/>
        <v>0.7</v>
      </c>
      <c r="BJ36" s="9">
        <v>7</v>
      </c>
      <c r="BK36" s="9">
        <v>0.71</v>
      </c>
      <c r="BL36" s="15">
        <v>7</v>
      </c>
      <c r="BM36" s="14">
        <v>0.33</v>
      </c>
      <c r="BN36" s="8">
        <v>0</v>
      </c>
      <c r="BO36" s="14">
        <v>0.5</v>
      </c>
      <c r="BP36" s="14">
        <f t="shared" si="11"/>
        <v>0.4</v>
      </c>
      <c r="BQ36" s="14">
        <v>0</v>
      </c>
      <c r="BR36" s="15">
        <v>0.65</v>
      </c>
      <c r="BS36" s="15">
        <f t="shared" ref="BS36:BS185" si="29">(0.45*L36 + 0.35*M36 + 0.12*AJ36 + 0.08*BF36) * (1 - BR36)</f>
        <v>6.9299999999999987E-2</v>
      </c>
      <c r="BT36" s="14">
        <v>0</v>
      </c>
      <c r="BU36" s="14">
        <v>0</v>
      </c>
      <c r="BV36" s="15">
        <v>54.45</v>
      </c>
      <c r="BW36" s="15">
        <v>6.4000000000000001E-2</v>
      </c>
      <c r="BX36" s="15">
        <f t="shared" si="13"/>
        <v>36.000000000000007</v>
      </c>
      <c r="BY36" s="14">
        <f t="shared" si="14"/>
        <v>0</v>
      </c>
      <c r="BZ36" s="14">
        <f t="shared" si="15"/>
        <v>0</v>
      </c>
      <c r="CA36" s="14">
        <f t="shared" si="16"/>
        <v>38.4</v>
      </c>
      <c r="CB36" s="14">
        <f t="shared" si="17"/>
        <v>74.400000000000006</v>
      </c>
      <c r="CC36" s="15">
        <f t="shared" si="18"/>
        <v>0.83699999999999997</v>
      </c>
      <c r="CD36" s="14">
        <f t="shared" si="19"/>
        <v>62.27</v>
      </c>
      <c r="CE36" s="14">
        <f t="shared" si="20"/>
        <v>0.89500000000000002</v>
      </c>
      <c r="CF36" s="14">
        <f t="shared" si="21"/>
        <v>55.73</v>
      </c>
      <c r="CG36" s="14">
        <f t="shared" si="22"/>
        <v>22</v>
      </c>
    </row>
    <row r="37" spans="1:85" ht="13.2" x14ac:dyDescent="0.25">
      <c r="A37" s="8">
        <v>720471</v>
      </c>
      <c r="B37" s="9" t="s">
        <v>129</v>
      </c>
      <c r="C37" s="9" t="s">
        <v>86</v>
      </c>
      <c r="D37" s="9">
        <v>1</v>
      </c>
      <c r="E37" s="9">
        <v>0</v>
      </c>
      <c r="F37" s="9">
        <v>0</v>
      </c>
      <c r="G37" s="9">
        <v>0</v>
      </c>
      <c r="H37" s="10">
        <v>30</v>
      </c>
      <c r="I37" s="9">
        <v>29</v>
      </c>
      <c r="J37" s="11">
        <f t="shared" si="0"/>
        <v>0.5</v>
      </c>
      <c r="K37" s="10">
        <v>749</v>
      </c>
      <c r="L37" s="11">
        <v>0.2</v>
      </c>
      <c r="M37" s="11">
        <v>0</v>
      </c>
      <c r="N37" s="11" t="s">
        <v>87</v>
      </c>
      <c r="O37" s="11">
        <v>1</v>
      </c>
      <c r="P37" s="12" t="s">
        <v>88</v>
      </c>
      <c r="Q37" s="12">
        <v>0</v>
      </c>
      <c r="R37" s="9">
        <v>25</v>
      </c>
      <c r="S37" s="10">
        <v>105</v>
      </c>
      <c r="T37" s="10">
        <v>25.83</v>
      </c>
      <c r="U37" s="10">
        <f t="shared" si="1"/>
        <v>0.5</v>
      </c>
      <c r="V37" s="10">
        <v>141.86000000000001</v>
      </c>
      <c r="W37" s="10">
        <f t="shared" si="2"/>
        <v>0.6</v>
      </c>
      <c r="X37" s="10">
        <v>80</v>
      </c>
      <c r="Y37" s="10">
        <v>40</v>
      </c>
      <c r="Z37" s="10">
        <v>1</v>
      </c>
      <c r="AA37" s="10">
        <v>3</v>
      </c>
      <c r="AB37" s="9">
        <v>0</v>
      </c>
      <c r="AC37" s="9">
        <f t="shared" si="3"/>
        <v>2</v>
      </c>
      <c r="AD37" s="9">
        <v>0</v>
      </c>
      <c r="AE37" s="9">
        <v>0.6</v>
      </c>
      <c r="AF37" s="9">
        <v>1.4999999999999999E-2</v>
      </c>
      <c r="AG37" s="9">
        <v>7.5</v>
      </c>
      <c r="AH37" s="9">
        <v>0.16700000000000001</v>
      </c>
      <c r="AI37" s="13">
        <v>80</v>
      </c>
      <c r="AJ37" s="9">
        <f t="shared" si="4"/>
        <v>0.9</v>
      </c>
      <c r="AK37" s="9">
        <v>0</v>
      </c>
      <c r="AL37" s="9">
        <v>0</v>
      </c>
      <c r="AM37" s="9">
        <v>0</v>
      </c>
      <c r="AN37" s="9">
        <v>0</v>
      </c>
      <c r="AO37" s="9">
        <f t="shared" si="28"/>
        <v>0</v>
      </c>
      <c r="AP37" s="9">
        <v>0</v>
      </c>
      <c r="AQ37" s="9">
        <f t="shared" si="6"/>
        <v>0.8</v>
      </c>
      <c r="AR37" s="9">
        <v>7</v>
      </c>
      <c r="AS37" s="9">
        <v>0</v>
      </c>
      <c r="AT37" s="9">
        <v>0</v>
      </c>
      <c r="AU37" s="9">
        <v>0</v>
      </c>
      <c r="AV37" s="9">
        <v>0</v>
      </c>
      <c r="AW37" s="12">
        <v>38</v>
      </c>
      <c r="AX37" s="9">
        <v>0.4</v>
      </c>
      <c r="AY37" s="9">
        <v>0</v>
      </c>
      <c r="AZ37" s="9">
        <f t="shared" ref="AZ37:AZ40" si="30">(AP37 - MIN($AP$2:$AP$964)) / (MAX($AP$2:$AP$964) - MIN($AP$2:$AP$964))</f>
        <v>0</v>
      </c>
      <c r="BA37" s="9">
        <v>0</v>
      </c>
      <c r="BB37" s="9">
        <v>0</v>
      </c>
      <c r="BC37" s="9">
        <v>0</v>
      </c>
      <c r="BD37" s="9">
        <v>0</v>
      </c>
      <c r="BE37" s="9">
        <v>7.5</v>
      </c>
      <c r="BF37" s="9">
        <f t="shared" si="8"/>
        <v>0.4</v>
      </c>
      <c r="BG37" s="9">
        <f t="shared" si="9"/>
        <v>1</v>
      </c>
      <c r="BH37" s="9">
        <v>7</v>
      </c>
      <c r="BI37" s="9">
        <f t="shared" si="10"/>
        <v>0.3</v>
      </c>
      <c r="BJ37" s="9">
        <v>8</v>
      </c>
      <c r="BK37" s="9">
        <v>0.86</v>
      </c>
      <c r="BL37" s="15">
        <v>7</v>
      </c>
      <c r="BM37" s="14">
        <v>0.33</v>
      </c>
      <c r="BN37" s="8">
        <v>0</v>
      </c>
      <c r="BO37" s="14">
        <v>0</v>
      </c>
      <c r="BP37" s="14">
        <f t="shared" si="11"/>
        <v>0.4</v>
      </c>
      <c r="BQ37" s="14">
        <v>0</v>
      </c>
      <c r="BR37" s="15">
        <v>0.78</v>
      </c>
      <c r="BS37" s="15">
        <f t="shared" si="29"/>
        <v>5.0599999999999999E-2</v>
      </c>
      <c r="BT37" s="14">
        <v>0</v>
      </c>
      <c r="BU37" s="14">
        <v>0</v>
      </c>
      <c r="BV37" s="15">
        <v>59.5</v>
      </c>
      <c r="BW37" s="15">
        <v>7.0000000000000007E-2</v>
      </c>
      <c r="BX37" s="15">
        <f t="shared" si="13"/>
        <v>38.000000000000014</v>
      </c>
      <c r="BY37" s="14">
        <f t="shared" si="14"/>
        <v>0</v>
      </c>
      <c r="BZ37" s="14">
        <f t="shared" si="15"/>
        <v>0</v>
      </c>
      <c r="CA37" s="14">
        <f t="shared" si="16"/>
        <v>0</v>
      </c>
      <c r="CB37" s="14">
        <f t="shared" si="17"/>
        <v>38.000000000000014</v>
      </c>
      <c r="CC37" s="15">
        <f t="shared" si="18"/>
        <v>0.86099999999999999</v>
      </c>
      <c r="CD37" s="14">
        <f t="shared" si="19"/>
        <v>32.72</v>
      </c>
      <c r="CE37" s="14">
        <f t="shared" si="20"/>
        <v>0.8</v>
      </c>
      <c r="CF37" s="14">
        <f t="shared" si="21"/>
        <v>26.18</v>
      </c>
      <c r="CG37" s="14">
        <f t="shared" si="22"/>
        <v>121</v>
      </c>
    </row>
    <row r="38" spans="1:85" ht="13.2" x14ac:dyDescent="0.25">
      <c r="A38" s="8">
        <v>34102</v>
      </c>
      <c r="B38" s="9" t="s">
        <v>130</v>
      </c>
      <c r="C38" s="9" t="s">
        <v>86</v>
      </c>
      <c r="D38" s="9">
        <v>1</v>
      </c>
      <c r="E38" s="9">
        <v>0</v>
      </c>
      <c r="F38" s="9">
        <v>0</v>
      </c>
      <c r="G38" s="9">
        <v>0</v>
      </c>
      <c r="H38" s="10">
        <v>23</v>
      </c>
      <c r="I38" s="9">
        <v>30</v>
      </c>
      <c r="J38" s="11">
        <f t="shared" si="0"/>
        <v>0.4</v>
      </c>
      <c r="K38" s="10">
        <v>568</v>
      </c>
      <c r="L38" s="11">
        <v>0.2</v>
      </c>
      <c r="M38" s="11">
        <v>0</v>
      </c>
      <c r="N38" s="11" t="s">
        <v>90</v>
      </c>
      <c r="O38" s="11">
        <v>1</v>
      </c>
      <c r="P38" s="12" t="s">
        <v>88</v>
      </c>
      <c r="Q38" s="12">
        <v>0</v>
      </c>
      <c r="R38" s="9">
        <v>26</v>
      </c>
      <c r="S38" s="10">
        <v>71</v>
      </c>
      <c r="T38" s="10">
        <v>25.82</v>
      </c>
      <c r="U38" s="10">
        <f t="shared" si="1"/>
        <v>0.5</v>
      </c>
      <c r="V38" s="10">
        <v>147.53</v>
      </c>
      <c r="W38" s="10">
        <f t="shared" si="2"/>
        <v>0.6</v>
      </c>
      <c r="X38" s="10">
        <v>47</v>
      </c>
      <c r="Y38" s="10">
        <v>23</v>
      </c>
      <c r="Z38" s="10">
        <v>0</v>
      </c>
      <c r="AA38" s="10">
        <v>2</v>
      </c>
      <c r="AB38" s="9">
        <v>0</v>
      </c>
      <c r="AC38" s="9">
        <f t="shared" si="3"/>
        <v>1</v>
      </c>
      <c r="AD38" s="9">
        <v>2</v>
      </c>
      <c r="AE38" s="9">
        <v>0.6</v>
      </c>
      <c r="AF38" s="9">
        <v>1.4999999999999999E-2</v>
      </c>
      <c r="AG38" s="9">
        <v>6</v>
      </c>
      <c r="AH38" s="9">
        <v>0.25</v>
      </c>
      <c r="AI38" s="13">
        <v>55</v>
      </c>
      <c r="AJ38" s="9">
        <f t="shared" si="4"/>
        <v>0.6</v>
      </c>
      <c r="AK38" s="9">
        <v>0</v>
      </c>
      <c r="AL38" s="9">
        <v>0</v>
      </c>
      <c r="AM38" s="9">
        <v>0</v>
      </c>
      <c r="AN38" s="9">
        <v>0</v>
      </c>
      <c r="AO38" s="9">
        <f t="shared" si="28"/>
        <v>0</v>
      </c>
      <c r="AP38" s="9">
        <v>0</v>
      </c>
      <c r="AQ38" s="9">
        <f t="shared" si="6"/>
        <v>0.7</v>
      </c>
      <c r="AR38" s="9">
        <v>6</v>
      </c>
      <c r="AS38" s="9">
        <v>0</v>
      </c>
      <c r="AT38" s="9">
        <v>0</v>
      </c>
      <c r="AU38" s="9">
        <v>0</v>
      </c>
      <c r="AV38" s="9">
        <v>0</v>
      </c>
      <c r="AW38" s="12">
        <v>26</v>
      </c>
      <c r="AX38" s="9">
        <v>0.3</v>
      </c>
      <c r="AY38" s="9">
        <v>0</v>
      </c>
      <c r="AZ38" s="9">
        <f t="shared" si="30"/>
        <v>0</v>
      </c>
      <c r="BA38" s="9">
        <v>0</v>
      </c>
      <c r="BB38" s="9">
        <v>0</v>
      </c>
      <c r="BC38" s="9">
        <v>0</v>
      </c>
      <c r="BD38" s="9">
        <v>0</v>
      </c>
      <c r="BE38" s="9">
        <v>6</v>
      </c>
      <c r="BF38" s="9">
        <f t="shared" si="8"/>
        <v>0</v>
      </c>
      <c r="BG38" s="9">
        <f t="shared" si="9"/>
        <v>1</v>
      </c>
      <c r="BH38" s="9">
        <v>6</v>
      </c>
      <c r="BI38" s="9">
        <f t="shared" si="10"/>
        <v>0</v>
      </c>
      <c r="BJ38" s="9">
        <v>8</v>
      </c>
      <c r="BK38" s="9">
        <v>0.86</v>
      </c>
      <c r="BL38" s="15">
        <v>7</v>
      </c>
      <c r="BM38" s="14">
        <v>0.33</v>
      </c>
      <c r="BN38" s="8">
        <v>0</v>
      </c>
      <c r="BO38" s="14">
        <v>0</v>
      </c>
      <c r="BP38" s="14">
        <f t="shared" si="11"/>
        <v>0.4</v>
      </c>
      <c r="BQ38" s="14">
        <v>0</v>
      </c>
      <c r="BR38" s="15">
        <v>0</v>
      </c>
      <c r="BS38" s="15">
        <f t="shared" si="29"/>
        <v>0.16200000000000001</v>
      </c>
      <c r="BT38" s="14">
        <v>0</v>
      </c>
      <c r="BU38" s="14">
        <v>0</v>
      </c>
      <c r="BV38" s="15">
        <v>50.8</v>
      </c>
      <c r="BW38" s="15">
        <v>0.06</v>
      </c>
      <c r="BX38" s="15">
        <f t="shared" si="13"/>
        <v>33.000000000000007</v>
      </c>
      <c r="BY38" s="14">
        <f t="shared" si="14"/>
        <v>0</v>
      </c>
      <c r="BZ38" s="14">
        <f t="shared" si="15"/>
        <v>0</v>
      </c>
      <c r="CA38" s="14">
        <f t="shared" si="16"/>
        <v>0</v>
      </c>
      <c r="CB38" s="14">
        <f t="shared" si="17"/>
        <v>33.000000000000007</v>
      </c>
      <c r="CC38" s="15">
        <f t="shared" si="18"/>
        <v>0.71599999999999997</v>
      </c>
      <c r="CD38" s="14">
        <f t="shared" si="19"/>
        <v>23.63</v>
      </c>
      <c r="CE38" s="14">
        <f t="shared" si="20"/>
        <v>0.82499999999999996</v>
      </c>
      <c r="CF38" s="14">
        <f t="shared" si="21"/>
        <v>19.489999999999998</v>
      </c>
      <c r="CG38" s="14">
        <f t="shared" si="22"/>
        <v>158</v>
      </c>
    </row>
    <row r="39" spans="1:85" ht="13.2" x14ac:dyDescent="0.25">
      <c r="A39" s="8">
        <v>277916</v>
      </c>
      <c r="B39" s="9" t="s">
        <v>131</v>
      </c>
      <c r="C39" s="9" t="s">
        <v>86</v>
      </c>
      <c r="D39" s="9">
        <v>1</v>
      </c>
      <c r="E39" s="9">
        <v>0</v>
      </c>
      <c r="F39" s="9">
        <v>0</v>
      </c>
      <c r="G39" s="9">
        <v>0</v>
      </c>
      <c r="H39" s="10">
        <v>24</v>
      </c>
      <c r="I39" s="9">
        <v>23</v>
      </c>
      <c r="J39" s="11">
        <f t="shared" si="0"/>
        <v>0.3</v>
      </c>
      <c r="K39" s="10">
        <v>473</v>
      </c>
      <c r="L39" s="11">
        <v>0.1</v>
      </c>
      <c r="M39" s="11">
        <v>0</v>
      </c>
      <c r="N39" s="11" t="s">
        <v>90</v>
      </c>
      <c r="O39" s="11">
        <v>2</v>
      </c>
      <c r="P39" s="12" t="s">
        <v>88</v>
      </c>
      <c r="Q39" s="12">
        <v>0</v>
      </c>
      <c r="R39" s="9">
        <v>31</v>
      </c>
      <c r="S39" s="10">
        <v>59</v>
      </c>
      <c r="T39" s="10">
        <v>26.28</v>
      </c>
      <c r="U39" s="10">
        <f t="shared" si="1"/>
        <v>0.5</v>
      </c>
      <c r="V39" s="10">
        <v>137.9</v>
      </c>
      <c r="W39" s="10">
        <f t="shared" si="2"/>
        <v>0.6</v>
      </c>
      <c r="X39" s="10">
        <v>35</v>
      </c>
      <c r="Y39" s="10">
        <v>17</v>
      </c>
      <c r="Z39" s="10">
        <v>0</v>
      </c>
      <c r="AA39" s="10">
        <v>3</v>
      </c>
      <c r="AB39" s="9">
        <v>0</v>
      </c>
      <c r="AC39" s="9">
        <f t="shared" si="3"/>
        <v>1</v>
      </c>
      <c r="AD39" s="9">
        <v>2</v>
      </c>
      <c r="AE39" s="9">
        <v>0.6</v>
      </c>
      <c r="AF39" s="9">
        <v>1.4999999999999999E-2</v>
      </c>
      <c r="AG39" s="9">
        <v>6.5</v>
      </c>
      <c r="AH39" s="9">
        <v>0.66700000000000004</v>
      </c>
      <c r="AI39" s="13">
        <v>50</v>
      </c>
      <c r="AJ39" s="9">
        <f t="shared" si="4"/>
        <v>0.6</v>
      </c>
      <c r="AK39" s="9">
        <v>0</v>
      </c>
      <c r="AL39" s="9">
        <v>65</v>
      </c>
      <c r="AM39" s="9">
        <v>0</v>
      </c>
      <c r="AN39" s="9">
        <v>0</v>
      </c>
      <c r="AO39" s="9">
        <f t="shared" si="28"/>
        <v>0</v>
      </c>
      <c r="AP39" s="9">
        <v>0</v>
      </c>
      <c r="AQ39" s="9">
        <f t="shared" si="6"/>
        <v>0</v>
      </c>
      <c r="AR39" s="9">
        <v>2</v>
      </c>
      <c r="AS39" s="9">
        <v>0</v>
      </c>
      <c r="AT39" s="9">
        <v>0</v>
      </c>
      <c r="AU39" s="9">
        <v>0</v>
      </c>
      <c r="AV39" s="9">
        <v>0</v>
      </c>
      <c r="AW39" s="12">
        <v>23</v>
      </c>
      <c r="AX39" s="9">
        <v>0.2</v>
      </c>
      <c r="AY39" s="9">
        <v>0</v>
      </c>
      <c r="AZ39" s="9">
        <f t="shared" si="30"/>
        <v>0</v>
      </c>
      <c r="BA39" s="9">
        <v>0</v>
      </c>
      <c r="BB39" s="9">
        <v>0</v>
      </c>
      <c r="BC39" s="9">
        <v>0</v>
      </c>
      <c r="BD39" s="9">
        <v>0</v>
      </c>
      <c r="BE39" s="9">
        <v>6.5</v>
      </c>
      <c r="BF39" s="9">
        <f t="shared" si="8"/>
        <v>0.1</v>
      </c>
      <c r="BG39" s="9">
        <f t="shared" si="9"/>
        <v>1</v>
      </c>
      <c r="BH39" s="9">
        <v>8</v>
      </c>
      <c r="BI39" s="9">
        <f t="shared" si="10"/>
        <v>0.7</v>
      </c>
      <c r="BJ39" s="9">
        <v>6</v>
      </c>
      <c r="BK39" s="9">
        <v>0.56999999999999995</v>
      </c>
      <c r="BL39" s="15">
        <v>7</v>
      </c>
      <c r="BM39" s="14">
        <v>0.33</v>
      </c>
      <c r="BN39" s="8">
        <v>0</v>
      </c>
      <c r="BO39" s="14">
        <v>0</v>
      </c>
      <c r="BP39" s="14">
        <f t="shared" si="11"/>
        <v>0.3</v>
      </c>
      <c r="BQ39" s="14">
        <v>0</v>
      </c>
      <c r="BR39" s="15">
        <v>0</v>
      </c>
      <c r="BS39" s="15">
        <f t="shared" si="29"/>
        <v>0.125</v>
      </c>
      <c r="BT39" s="14">
        <v>0</v>
      </c>
      <c r="BU39" s="14">
        <v>0</v>
      </c>
      <c r="BV39" s="15">
        <v>44.65</v>
      </c>
      <c r="BW39" s="15">
        <v>5.3999999999999999E-2</v>
      </c>
      <c r="BX39" s="15">
        <f t="shared" si="13"/>
        <v>26.5</v>
      </c>
      <c r="BY39" s="14">
        <f t="shared" si="14"/>
        <v>0</v>
      </c>
      <c r="BZ39" s="14">
        <f t="shared" si="15"/>
        <v>0</v>
      </c>
      <c r="CA39" s="14">
        <f t="shared" si="16"/>
        <v>0</v>
      </c>
      <c r="CB39" s="14">
        <f t="shared" si="17"/>
        <v>26.5</v>
      </c>
      <c r="CC39" s="15">
        <f t="shared" si="18"/>
        <v>0.71299999999999997</v>
      </c>
      <c r="CD39" s="14">
        <f t="shared" si="19"/>
        <v>18.89</v>
      </c>
      <c r="CE39" s="14">
        <f t="shared" si="20"/>
        <v>1</v>
      </c>
      <c r="CF39" s="14">
        <f t="shared" si="21"/>
        <v>18.89</v>
      </c>
      <c r="CG39" s="14">
        <f t="shared" si="22"/>
        <v>161</v>
      </c>
    </row>
    <row r="40" spans="1:85" ht="13.2" x14ac:dyDescent="0.25">
      <c r="A40" s="8">
        <v>234675</v>
      </c>
      <c r="B40" s="9" t="s">
        <v>132</v>
      </c>
      <c r="C40" s="9" t="s">
        <v>86</v>
      </c>
      <c r="D40" s="9">
        <v>1</v>
      </c>
      <c r="E40" s="9">
        <v>0</v>
      </c>
      <c r="F40" s="9">
        <v>0</v>
      </c>
      <c r="G40" s="9">
        <v>0</v>
      </c>
      <c r="H40" s="10">
        <v>14</v>
      </c>
      <c r="I40" s="9">
        <v>25</v>
      </c>
      <c r="J40" s="11">
        <f t="shared" si="0"/>
        <v>0.3</v>
      </c>
      <c r="K40" s="10">
        <v>351</v>
      </c>
      <c r="L40" s="11">
        <v>0.2</v>
      </c>
      <c r="M40" s="11">
        <v>0</v>
      </c>
      <c r="N40" s="11" t="s">
        <v>90</v>
      </c>
      <c r="O40" s="11">
        <v>2</v>
      </c>
      <c r="P40" s="12" t="s">
        <v>88</v>
      </c>
      <c r="Q40" s="12">
        <v>0</v>
      </c>
      <c r="R40" s="9">
        <v>26</v>
      </c>
      <c r="S40" s="10">
        <v>58</v>
      </c>
      <c r="T40" s="10">
        <v>39</v>
      </c>
      <c r="U40" s="10">
        <f t="shared" si="1"/>
        <v>0.7</v>
      </c>
      <c r="V40" s="10">
        <v>146.86000000000001</v>
      </c>
      <c r="W40" s="10">
        <f t="shared" si="2"/>
        <v>0.6</v>
      </c>
      <c r="X40" s="10">
        <v>34</v>
      </c>
      <c r="Y40" s="10">
        <v>14</v>
      </c>
      <c r="Z40" s="10">
        <v>0</v>
      </c>
      <c r="AA40" s="10">
        <v>2</v>
      </c>
      <c r="AB40" s="9">
        <v>27</v>
      </c>
      <c r="AC40" s="9">
        <f t="shared" si="3"/>
        <v>3</v>
      </c>
      <c r="AD40" s="9">
        <v>1.5</v>
      </c>
      <c r="AE40" s="9">
        <v>0.6</v>
      </c>
      <c r="AF40" s="9">
        <v>1.4999999999999999E-2</v>
      </c>
      <c r="AG40" s="9">
        <v>7</v>
      </c>
      <c r="AH40" s="9">
        <v>0.13900000000000001</v>
      </c>
      <c r="AI40" s="13">
        <v>75</v>
      </c>
      <c r="AJ40" s="9">
        <f t="shared" si="4"/>
        <v>0.9</v>
      </c>
      <c r="AK40" s="9">
        <v>0</v>
      </c>
      <c r="AL40" s="9">
        <v>0</v>
      </c>
      <c r="AM40" s="9">
        <v>0</v>
      </c>
      <c r="AN40" s="9">
        <v>0</v>
      </c>
      <c r="AO40" s="9">
        <f t="shared" si="28"/>
        <v>0</v>
      </c>
      <c r="AP40" s="9">
        <v>0</v>
      </c>
      <c r="AQ40" s="9">
        <f t="shared" si="6"/>
        <v>0.3</v>
      </c>
      <c r="AR40" s="9">
        <v>4</v>
      </c>
      <c r="AS40" s="9">
        <v>0</v>
      </c>
      <c r="AT40" s="9">
        <v>0</v>
      </c>
      <c r="AU40" s="9">
        <v>0</v>
      </c>
      <c r="AV40" s="9">
        <v>0</v>
      </c>
      <c r="AW40" s="12">
        <v>34</v>
      </c>
      <c r="AX40" s="9">
        <v>0.3</v>
      </c>
      <c r="AY40" s="9">
        <v>0</v>
      </c>
      <c r="AZ40" s="9">
        <f t="shared" si="30"/>
        <v>0</v>
      </c>
      <c r="BA40" s="9">
        <v>0</v>
      </c>
      <c r="BB40" s="9">
        <v>0</v>
      </c>
      <c r="BC40" s="9">
        <v>0</v>
      </c>
      <c r="BD40" s="9">
        <v>0</v>
      </c>
      <c r="BE40" s="9">
        <v>7</v>
      </c>
      <c r="BF40" s="9">
        <f t="shared" si="8"/>
        <v>0.3</v>
      </c>
      <c r="BG40" s="9">
        <f t="shared" si="9"/>
        <v>2</v>
      </c>
      <c r="BH40" s="9">
        <v>7</v>
      </c>
      <c r="BI40" s="9">
        <f t="shared" si="10"/>
        <v>0.3</v>
      </c>
      <c r="BJ40" s="9">
        <v>9</v>
      </c>
      <c r="BK40" s="9">
        <v>1</v>
      </c>
      <c r="BL40" s="15">
        <v>6</v>
      </c>
      <c r="BM40" s="14">
        <v>0</v>
      </c>
      <c r="BN40" s="8">
        <v>0</v>
      </c>
      <c r="BO40" s="14">
        <v>0</v>
      </c>
      <c r="BP40" s="14">
        <f t="shared" si="11"/>
        <v>0.5</v>
      </c>
      <c r="BQ40" s="14">
        <v>0</v>
      </c>
      <c r="BR40" s="15">
        <v>0.67</v>
      </c>
      <c r="BS40" s="15">
        <f t="shared" si="29"/>
        <v>7.3259999999999992E-2</v>
      </c>
      <c r="BT40" s="14">
        <v>0</v>
      </c>
      <c r="BU40" s="14">
        <v>0</v>
      </c>
      <c r="BV40" s="15">
        <v>68.900000000000006</v>
      </c>
      <c r="BW40" s="15">
        <v>0.08</v>
      </c>
      <c r="BX40" s="15">
        <f t="shared" si="13"/>
        <v>40</v>
      </c>
      <c r="BY40" s="14">
        <f t="shared" si="14"/>
        <v>0</v>
      </c>
      <c r="BZ40" s="14">
        <f t="shared" si="15"/>
        <v>0</v>
      </c>
      <c r="CA40" s="14">
        <f t="shared" si="16"/>
        <v>0</v>
      </c>
      <c r="CB40" s="14">
        <f t="shared" si="17"/>
        <v>40</v>
      </c>
      <c r="CC40" s="15">
        <f t="shared" si="18"/>
        <v>0.84099999999999997</v>
      </c>
      <c r="CD40" s="14">
        <f t="shared" si="19"/>
        <v>33.64</v>
      </c>
      <c r="CE40" s="14">
        <f t="shared" si="20"/>
        <v>0.92500000000000004</v>
      </c>
      <c r="CF40" s="14">
        <f t="shared" si="21"/>
        <v>31.12</v>
      </c>
      <c r="CG40" s="14">
        <f t="shared" si="22"/>
        <v>85</v>
      </c>
    </row>
    <row r="41" spans="1:85" ht="13.2" x14ac:dyDescent="0.25">
      <c r="A41" s="8">
        <v>1284829</v>
      </c>
      <c r="B41" s="9" t="s">
        <v>133</v>
      </c>
      <c r="C41" s="9" t="s">
        <v>86</v>
      </c>
      <c r="D41" s="9">
        <v>1</v>
      </c>
      <c r="E41" s="9">
        <v>0</v>
      </c>
      <c r="F41" s="9">
        <v>0</v>
      </c>
      <c r="G41" s="9">
        <v>1</v>
      </c>
      <c r="H41" s="10">
        <v>27</v>
      </c>
      <c r="I41" s="9">
        <v>14</v>
      </c>
      <c r="J41" s="11">
        <f t="shared" si="0"/>
        <v>0.3</v>
      </c>
      <c r="K41" s="10">
        <v>472</v>
      </c>
      <c r="L41" s="11">
        <v>0.1</v>
      </c>
      <c r="M41" s="11">
        <v>0</v>
      </c>
      <c r="N41" s="11" t="s">
        <v>96</v>
      </c>
      <c r="O41" s="11">
        <v>2</v>
      </c>
      <c r="P41" s="12" t="s">
        <v>88</v>
      </c>
      <c r="Q41" s="12">
        <v>0</v>
      </c>
      <c r="R41" s="9">
        <v>32</v>
      </c>
      <c r="S41" s="10">
        <v>83</v>
      </c>
      <c r="T41" s="10">
        <v>46.6</v>
      </c>
      <c r="U41" s="10">
        <f t="shared" si="1"/>
        <v>0.8</v>
      </c>
      <c r="V41" s="10">
        <v>165.61</v>
      </c>
      <c r="W41" s="10">
        <f t="shared" si="2"/>
        <v>0.7</v>
      </c>
      <c r="X41" s="10">
        <v>40</v>
      </c>
      <c r="Y41" s="10">
        <v>27</v>
      </c>
      <c r="Z41" s="10">
        <v>0</v>
      </c>
      <c r="AA41" s="10">
        <v>2</v>
      </c>
      <c r="AB41" s="9">
        <v>26.75</v>
      </c>
      <c r="AC41" s="9">
        <f t="shared" si="3"/>
        <v>3</v>
      </c>
      <c r="AD41" s="9">
        <v>2</v>
      </c>
      <c r="AE41" s="9">
        <v>0.6</v>
      </c>
      <c r="AF41" s="9">
        <v>1.4999999999999999E-2</v>
      </c>
      <c r="AG41" s="9">
        <v>6.5</v>
      </c>
      <c r="AH41" s="9">
        <v>8.9999999999999993E-3</v>
      </c>
      <c r="AI41" s="13">
        <v>60</v>
      </c>
      <c r="AJ41" s="9">
        <f t="shared" si="4"/>
        <v>0.7</v>
      </c>
      <c r="AK41" s="9">
        <v>0</v>
      </c>
      <c r="AL41" s="9">
        <v>0</v>
      </c>
      <c r="AM41" s="9">
        <v>0</v>
      </c>
      <c r="AN41" s="9">
        <v>0</v>
      </c>
      <c r="AO41" s="9">
        <f t="shared" si="28"/>
        <v>0</v>
      </c>
      <c r="AP41" s="9">
        <v>0</v>
      </c>
      <c r="AQ41" s="9">
        <f t="shared" si="6"/>
        <v>0.6</v>
      </c>
      <c r="AR41" s="9">
        <v>5.5</v>
      </c>
      <c r="AS41" s="9">
        <v>0</v>
      </c>
      <c r="AT41" s="9">
        <v>0</v>
      </c>
      <c r="AU41" s="9">
        <v>0</v>
      </c>
      <c r="AV41" s="9">
        <v>0</v>
      </c>
      <c r="AW41" s="12">
        <v>58</v>
      </c>
      <c r="AX41" s="9">
        <v>0.6</v>
      </c>
      <c r="AY41" s="9">
        <v>5</v>
      </c>
      <c r="AZ41" s="9">
        <v>0.31</v>
      </c>
      <c r="BA41" s="9">
        <v>0</v>
      </c>
      <c r="BB41" s="9">
        <v>0</v>
      </c>
      <c r="BC41" s="9">
        <v>0</v>
      </c>
      <c r="BD41" s="9">
        <v>0</v>
      </c>
      <c r="BE41" s="9">
        <v>7</v>
      </c>
      <c r="BF41" s="9">
        <f t="shared" si="8"/>
        <v>0.3</v>
      </c>
      <c r="BG41" s="9">
        <v>2</v>
      </c>
      <c r="BH41" s="9">
        <v>6</v>
      </c>
      <c r="BI41" s="9">
        <f t="shared" si="10"/>
        <v>0</v>
      </c>
      <c r="BJ41" s="9">
        <v>7</v>
      </c>
      <c r="BK41" s="9">
        <v>0.71</v>
      </c>
      <c r="BL41" s="15">
        <v>7</v>
      </c>
      <c r="BM41" s="14">
        <v>0.33</v>
      </c>
      <c r="BN41" s="8">
        <v>0</v>
      </c>
      <c r="BO41" s="14">
        <v>0.4</v>
      </c>
      <c r="BP41" s="14">
        <f t="shared" si="11"/>
        <v>0.4</v>
      </c>
      <c r="BQ41" s="14">
        <v>0</v>
      </c>
      <c r="BR41" s="15">
        <v>0.79</v>
      </c>
      <c r="BS41" s="15">
        <f t="shared" si="29"/>
        <v>3.2129999999999992E-2</v>
      </c>
      <c r="BT41" s="14">
        <v>0</v>
      </c>
      <c r="BU41" s="14">
        <v>0</v>
      </c>
      <c r="BV41" s="15">
        <v>49.35</v>
      </c>
      <c r="BW41" s="15">
        <v>5.8999999999999997E-2</v>
      </c>
      <c r="BX41" s="15">
        <f t="shared" si="13"/>
        <v>38</v>
      </c>
      <c r="BY41" s="14">
        <f t="shared" si="14"/>
        <v>0</v>
      </c>
      <c r="BZ41" s="14">
        <f t="shared" si="15"/>
        <v>0</v>
      </c>
      <c r="CA41" s="14">
        <f t="shared" si="16"/>
        <v>30.3</v>
      </c>
      <c r="CB41" s="14">
        <f t="shared" si="17"/>
        <v>68.3</v>
      </c>
      <c r="CC41" s="15">
        <f t="shared" si="18"/>
        <v>0.86099999999999999</v>
      </c>
      <c r="CD41" s="14">
        <f t="shared" si="19"/>
        <v>58.81</v>
      </c>
      <c r="CE41" s="14">
        <f t="shared" si="20"/>
        <v>0.79</v>
      </c>
      <c r="CF41" s="14">
        <f t="shared" si="21"/>
        <v>46.46</v>
      </c>
      <c r="CG41" s="14">
        <f t="shared" si="22"/>
        <v>37</v>
      </c>
    </row>
    <row r="42" spans="1:85" ht="13.2" x14ac:dyDescent="0.25">
      <c r="A42" s="8">
        <v>662973</v>
      </c>
      <c r="B42" s="9" t="s">
        <v>134</v>
      </c>
      <c r="C42" s="9" t="s">
        <v>86</v>
      </c>
      <c r="D42" s="9">
        <v>1</v>
      </c>
      <c r="E42" s="9">
        <v>0</v>
      </c>
      <c r="F42" s="9">
        <v>0</v>
      </c>
      <c r="G42" s="9">
        <v>0</v>
      </c>
      <c r="H42" s="10">
        <v>26</v>
      </c>
      <c r="I42" s="9">
        <v>27</v>
      </c>
      <c r="J42" s="11">
        <f t="shared" si="0"/>
        <v>0.3</v>
      </c>
      <c r="K42" s="10">
        <v>472</v>
      </c>
      <c r="L42" s="11">
        <v>0.1</v>
      </c>
      <c r="M42" s="11">
        <v>0</v>
      </c>
      <c r="N42" s="11" t="s">
        <v>96</v>
      </c>
      <c r="O42" s="11">
        <v>3</v>
      </c>
      <c r="P42" s="12" t="s">
        <v>94</v>
      </c>
      <c r="Q42" s="12">
        <v>0</v>
      </c>
      <c r="R42" s="9">
        <v>30</v>
      </c>
      <c r="S42" s="10">
        <v>45</v>
      </c>
      <c r="T42" s="10">
        <v>27.76</v>
      </c>
      <c r="U42" s="10">
        <f t="shared" si="1"/>
        <v>0.5</v>
      </c>
      <c r="V42" s="10">
        <v>158.38999999999999</v>
      </c>
      <c r="W42" s="10">
        <f t="shared" si="2"/>
        <v>0.7</v>
      </c>
      <c r="X42" s="10">
        <v>26</v>
      </c>
      <c r="Y42" s="10">
        <v>30</v>
      </c>
      <c r="Z42" s="10">
        <v>0</v>
      </c>
      <c r="AA42" s="10">
        <v>0</v>
      </c>
      <c r="AB42" s="9">
        <v>23.75</v>
      </c>
      <c r="AC42" s="9">
        <f t="shared" si="3"/>
        <v>3</v>
      </c>
      <c r="AD42" s="9">
        <v>1.5</v>
      </c>
      <c r="AE42" s="9">
        <v>0.6</v>
      </c>
      <c r="AF42" s="9">
        <v>1.4999999999999999E-2</v>
      </c>
      <c r="AG42" s="9">
        <v>7</v>
      </c>
      <c r="AH42" s="9">
        <v>0.28399999999999997</v>
      </c>
      <c r="AI42" s="13">
        <v>60</v>
      </c>
      <c r="AJ42" s="9">
        <f t="shared" si="4"/>
        <v>0.7</v>
      </c>
      <c r="AK42" s="9">
        <v>0</v>
      </c>
      <c r="AL42" s="9">
        <v>0</v>
      </c>
      <c r="AM42" s="9">
        <v>0</v>
      </c>
      <c r="AN42" s="9">
        <v>0</v>
      </c>
      <c r="AO42" s="9">
        <f t="shared" si="28"/>
        <v>0</v>
      </c>
      <c r="AP42" s="9">
        <v>0</v>
      </c>
      <c r="AQ42" s="9">
        <f t="shared" si="6"/>
        <v>0.3</v>
      </c>
      <c r="AR42" s="9">
        <v>3.5</v>
      </c>
      <c r="AS42" s="9">
        <v>0</v>
      </c>
      <c r="AT42" s="9">
        <v>0</v>
      </c>
      <c r="AU42" s="9">
        <v>0</v>
      </c>
      <c r="AV42" s="9">
        <v>0</v>
      </c>
      <c r="AW42" s="12">
        <v>28</v>
      </c>
      <c r="AX42" s="9">
        <v>0.3</v>
      </c>
      <c r="AY42" s="9">
        <v>0</v>
      </c>
      <c r="AZ42" s="9">
        <f t="shared" ref="AZ42:AZ53" si="31">(AP42 - MIN($AP$2:$AP$964)) / (MAX($AP$2:$AP$964) - MIN($AP$2:$AP$964))</f>
        <v>0</v>
      </c>
      <c r="BA42" s="9">
        <v>0</v>
      </c>
      <c r="BB42" s="9">
        <v>0</v>
      </c>
      <c r="BC42" s="9">
        <v>0</v>
      </c>
      <c r="BD42" s="9">
        <v>0</v>
      </c>
      <c r="BE42" s="9">
        <v>7</v>
      </c>
      <c r="BF42" s="9">
        <f t="shared" si="8"/>
        <v>0.3</v>
      </c>
      <c r="BG42" s="9">
        <f t="shared" ref="BG42:BG185" si="32">IF(AND(K42&gt;=800,V42&gt;=145),3,IF(K42&gt;=400,1,2))</f>
        <v>1</v>
      </c>
      <c r="BH42" s="9">
        <v>7</v>
      </c>
      <c r="BI42" s="9">
        <f t="shared" si="10"/>
        <v>0.3</v>
      </c>
      <c r="BJ42" s="9">
        <v>6</v>
      </c>
      <c r="BK42" s="9">
        <v>0.56999999999999995</v>
      </c>
      <c r="BL42" s="15">
        <v>7</v>
      </c>
      <c r="BM42" s="14">
        <v>0.33</v>
      </c>
      <c r="BN42" s="8">
        <v>0</v>
      </c>
      <c r="BO42" s="14">
        <v>0</v>
      </c>
      <c r="BP42" s="14">
        <f t="shared" si="11"/>
        <v>0.4</v>
      </c>
      <c r="BQ42" s="14">
        <v>0</v>
      </c>
      <c r="BR42" s="15">
        <v>0</v>
      </c>
      <c r="BS42" s="15">
        <f t="shared" si="29"/>
        <v>0.153</v>
      </c>
      <c r="BT42" s="14">
        <v>0</v>
      </c>
      <c r="BU42" s="14">
        <v>0</v>
      </c>
      <c r="BV42" s="15">
        <v>43.75</v>
      </c>
      <c r="BW42" s="15">
        <v>5.2999999999999999E-2</v>
      </c>
      <c r="BX42" s="15">
        <f t="shared" si="13"/>
        <v>35.000000000000007</v>
      </c>
      <c r="BY42" s="14">
        <f t="shared" si="14"/>
        <v>0</v>
      </c>
      <c r="BZ42" s="14">
        <f t="shared" si="15"/>
        <v>0</v>
      </c>
      <c r="CA42" s="14">
        <f t="shared" si="16"/>
        <v>0</v>
      </c>
      <c r="CB42" s="14">
        <f t="shared" si="17"/>
        <v>35.000000000000007</v>
      </c>
      <c r="CC42" s="15">
        <f t="shared" si="18"/>
        <v>0.71499999999999997</v>
      </c>
      <c r="CD42" s="14">
        <f t="shared" si="19"/>
        <v>25.03</v>
      </c>
      <c r="CE42" s="14">
        <f t="shared" si="20"/>
        <v>0.92500000000000004</v>
      </c>
      <c r="CF42" s="14">
        <f t="shared" si="21"/>
        <v>23.15</v>
      </c>
      <c r="CG42" s="14">
        <f t="shared" si="22"/>
        <v>138</v>
      </c>
    </row>
    <row r="43" spans="1:85" ht="13.2" x14ac:dyDescent="0.25">
      <c r="A43" s="8">
        <v>554691</v>
      </c>
      <c r="B43" s="9" t="s">
        <v>135</v>
      </c>
      <c r="C43" s="9" t="s">
        <v>86</v>
      </c>
      <c r="D43" s="9">
        <v>1</v>
      </c>
      <c r="E43" s="9">
        <v>0</v>
      </c>
      <c r="F43" s="9">
        <v>0</v>
      </c>
      <c r="G43" s="9">
        <v>0</v>
      </c>
      <c r="H43" s="10">
        <v>16</v>
      </c>
      <c r="I43" s="9">
        <v>26</v>
      </c>
      <c r="J43" s="11">
        <f t="shared" si="0"/>
        <v>0.2</v>
      </c>
      <c r="K43" s="10">
        <v>304</v>
      </c>
      <c r="L43" s="11">
        <v>0.1</v>
      </c>
      <c r="M43" s="11">
        <v>0</v>
      </c>
      <c r="N43" s="11" t="s">
        <v>87</v>
      </c>
      <c r="O43" s="11">
        <v>3</v>
      </c>
      <c r="P43" s="12" t="s">
        <v>88</v>
      </c>
      <c r="Q43" s="12">
        <v>0</v>
      </c>
      <c r="R43" s="9">
        <v>28</v>
      </c>
      <c r="S43" s="10">
        <v>66</v>
      </c>
      <c r="T43" s="10">
        <v>19</v>
      </c>
      <c r="U43" s="10">
        <f t="shared" si="1"/>
        <v>0.3</v>
      </c>
      <c r="V43" s="10">
        <v>147.57</v>
      </c>
      <c r="W43" s="10">
        <f t="shared" si="2"/>
        <v>0.6</v>
      </c>
      <c r="X43" s="10">
        <v>46</v>
      </c>
      <c r="Y43" s="10">
        <v>6</v>
      </c>
      <c r="Z43" s="10">
        <v>0</v>
      </c>
      <c r="AA43" s="10">
        <v>2</v>
      </c>
      <c r="AB43" s="9">
        <v>18</v>
      </c>
      <c r="AC43" s="9">
        <f t="shared" si="3"/>
        <v>3</v>
      </c>
      <c r="AD43" s="9">
        <v>0.5</v>
      </c>
      <c r="AE43" s="9">
        <v>0.6</v>
      </c>
      <c r="AF43" s="9">
        <v>1.4999999999999999E-2</v>
      </c>
      <c r="AG43" s="9">
        <v>6.5</v>
      </c>
      <c r="AH43" s="9">
        <v>0.2</v>
      </c>
      <c r="AI43" s="13">
        <v>65</v>
      </c>
      <c r="AJ43" s="9">
        <f t="shared" si="4"/>
        <v>0.8</v>
      </c>
      <c r="AK43" s="9">
        <v>0</v>
      </c>
      <c r="AL43" s="9">
        <v>0</v>
      </c>
      <c r="AM43" s="9">
        <v>0</v>
      </c>
      <c r="AN43" s="9">
        <v>0</v>
      </c>
      <c r="AO43" s="9">
        <f t="shared" si="28"/>
        <v>0</v>
      </c>
      <c r="AP43" s="9">
        <v>0</v>
      </c>
      <c r="AQ43" s="9">
        <f t="shared" si="6"/>
        <v>0.3</v>
      </c>
      <c r="AR43" s="9">
        <v>3.5</v>
      </c>
      <c r="AS43" s="9">
        <v>0</v>
      </c>
      <c r="AT43" s="9">
        <v>0</v>
      </c>
      <c r="AU43" s="9">
        <v>0</v>
      </c>
      <c r="AV43" s="9">
        <v>0</v>
      </c>
      <c r="AW43" s="12">
        <v>25</v>
      </c>
      <c r="AX43" s="9">
        <v>0.3</v>
      </c>
      <c r="AY43" s="9">
        <v>0</v>
      </c>
      <c r="AZ43" s="9">
        <f t="shared" si="31"/>
        <v>0</v>
      </c>
      <c r="BA43" s="9">
        <v>0</v>
      </c>
      <c r="BB43" s="9">
        <v>0</v>
      </c>
      <c r="BC43" s="9">
        <v>0</v>
      </c>
      <c r="BD43" s="9">
        <v>0</v>
      </c>
      <c r="BE43" s="9">
        <v>6.5</v>
      </c>
      <c r="BF43" s="9">
        <f t="shared" si="8"/>
        <v>0.1</v>
      </c>
      <c r="BG43" s="9">
        <f t="shared" si="32"/>
        <v>2</v>
      </c>
      <c r="BH43" s="9">
        <v>6</v>
      </c>
      <c r="BI43" s="9">
        <f t="shared" si="10"/>
        <v>0</v>
      </c>
      <c r="BJ43" s="9">
        <v>7</v>
      </c>
      <c r="BK43" s="9">
        <v>0.71</v>
      </c>
      <c r="BL43" s="15">
        <v>6</v>
      </c>
      <c r="BM43" s="14">
        <v>0</v>
      </c>
      <c r="BN43" s="8">
        <v>0</v>
      </c>
      <c r="BO43" s="14">
        <v>0</v>
      </c>
      <c r="BP43" s="14">
        <f t="shared" si="11"/>
        <v>0.3</v>
      </c>
      <c r="BQ43" s="14">
        <v>0</v>
      </c>
      <c r="BR43" s="15">
        <v>0</v>
      </c>
      <c r="BS43" s="15">
        <f t="shared" si="29"/>
        <v>0.14900000000000002</v>
      </c>
      <c r="BT43" s="14">
        <v>0</v>
      </c>
      <c r="BU43" s="14">
        <v>0</v>
      </c>
      <c r="BV43" s="15">
        <v>49.85</v>
      </c>
      <c r="BW43" s="15">
        <v>5.8999999999999997E-2</v>
      </c>
      <c r="BX43" s="15">
        <f t="shared" si="13"/>
        <v>27.500000000000004</v>
      </c>
      <c r="BY43" s="14">
        <f t="shared" si="14"/>
        <v>0</v>
      </c>
      <c r="BZ43" s="14">
        <f t="shared" si="15"/>
        <v>0</v>
      </c>
      <c r="CA43" s="14">
        <f t="shared" si="16"/>
        <v>0</v>
      </c>
      <c r="CB43" s="14">
        <f t="shared" si="17"/>
        <v>27.500000000000004</v>
      </c>
      <c r="CC43" s="15">
        <f t="shared" si="18"/>
        <v>0.71499999999999997</v>
      </c>
      <c r="CD43" s="14">
        <f t="shared" si="19"/>
        <v>19.66</v>
      </c>
      <c r="CE43" s="14">
        <f t="shared" si="20"/>
        <v>0.92500000000000004</v>
      </c>
      <c r="CF43" s="14">
        <f t="shared" si="21"/>
        <v>18.190000000000001</v>
      </c>
      <c r="CG43" s="14">
        <f t="shared" si="22"/>
        <v>165</v>
      </c>
    </row>
    <row r="44" spans="1:85" ht="13.2" x14ac:dyDescent="0.25">
      <c r="A44" s="8">
        <v>642519</v>
      </c>
      <c r="B44" s="9" t="s">
        <v>136</v>
      </c>
      <c r="C44" s="9" t="s">
        <v>86</v>
      </c>
      <c r="D44" s="9">
        <v>1</v>
      </c>
      <c r="E44" s="9">
        <v>0</v>
      </c>
      <c r="F44" s="9">
        <v>0</v>
      </c>
      <c r="G44" s="9">
        <v>0</v>
      </c>
      <c r="H44" s="10">
        <v>20</v>
      </c>
      <c r="I44" s="9">
        <v>16</v>
      </c>
      <c r="J44" s="11">
        <f t="shared" si="0"/>
        <v>0.2</v>
      </c>
      <c r="K44" s="10">
        <v>283</v>
      </c>
      <c r="L44" s="11">
        <v>0.1</v>
      </c>
      <c r="M44" s="11">
        <v>0</v>
      </c>
      <c r="N44" s="11" t="s">
        <v>96</v>
      </c>
      <c r="O44" s="11">
        <v>1</v>
      </c>
      <c r="P44" s="12" t="s">
        <v>137</v>
      </c>
      <c r="Q44" s="12">
        <v>1</v>
      </c>
      <c r="R44" s="9">
        <v>24</v>
      </c>
      <c r="S44" s="10">
        <v>58</v>
      </c>
      <c r="T44" s="10">
        <v>20.21</v>
      </c>
      <c r="U44" s="10">
        <f t="shared" si="1"/>
        <v>0.4</v>
      </c>
      <c r="V44" s="10">
        <v>167.46</v>
      </c>
      <c r="W44" s="10">
        <f t="shared" si="2"/>
        <v>0.7</v>
      </c>
      <c r="X44" s="10">
        <v>22</v>
      </c>
      <c r="Y44" s="10">
        <v>18</v>
      </c>
      <c r="Z44" s="10">
        <v>0</v>
      </c>
      <c r="AA44" s="10">
        <v>1</v>
      </c>
      <c r="AB44" s="9">
        <v>18</v>
      </c>
      <c r="AC44" s="9">
        <f t="shared" si="3"/>
        <v>3</v>
      </c>
      <c r="AD44" s="9">
        <v>0.3</v>
      </c>
      <c r="AE44" s="9">
        <v>0.6</v>
      </c>
      <c r="AF44" s="9">
        <v>1.4999999999999999E-2</v>
      </c>
      <c r="AG44" s="9">
        <v>6.5</v>
      </c>
      <c r="AH44" s="9">
        <v>0.38500000000000001</v>
      </c>
      <c r="AI44" s="13">
        <v>45</v>
      </c>
      <c r="AJ44" s="9">
        <f t="shared" si="4"/>
        <v>0.5</v>
      </c>
      <c r="AK44" s="9">
        <v>0</v>
      </c>
      <c r="AL44" s="9">
        <v>0</v>
      </c>
      <c r="AM44" s="9">
        <v>0</v>
      </c>
      <c r="AN44" s="9">
        <v>0</v>
      </c>
      <c r="AO44" s="9">
        <f t="shared" si="28"/>
        <v>0</v>
      </c>
      <c r="AP44" s="9">
        <v>0</v>
      </c>
      <c r="AQ44" s="9">
        <f t="shared" si="6"/>
        <v>0.1</v>
      </c>
      <c r="AR44" s="9">
        <v>2.5</v>
      </c>
      <c r="AS44" s="9">
        <v>0</v>
      </c>
      <c r="AT44" s="9">
        <v>0</v>
      </c>
      <c r="AU44" s="9">
        <v>0</v>
      </c>
      <c r="AV44" s="9">
        <v>0</v>
      </c>
      <c r="AW44" s="12">
        <v>22</v>
      </c>
      <c r="AX44" s="9">
        <v>0.2</v>
      </c>
      <c r="AY44" s="9">
        <v>0</v>
      </c>
      <c r="AZ44" s="9">
        <f t="shared" si="31"/>
        <v>0</v>
      </c>
      <c r="BA44" s="9">
        <v>0</v>
      </c>
      <c r="BB44" s="9">
        <v>0</v>
      </c>
      <c r="BC44" s="9">
        <v>0</v>
      </c>
      <c r="BD44" s="9">
        <v>0</v>
      </c>
      <c r="BE44" s="9">
        <v>7</v>
      </c>
      <c r="BF44" s="9">
        <f t="shared" si="8"/>
        <v>0.3</v>
      </c>
      <c r="BG44" s="9">
        <f t="shared" si="32"/>
        <v>2</v>
      </c>
      <c r="BH44" s="9">
        <v>7</v>
      </c>
      <c r="BI44" s="9">
        <f t="shared" si="10"/>
        <v>0.3</v>
      </c>
      <c r="BJ44" s="9">
        <v>6</v>
      </c>
      <c r="BK44" s="9">
        <v>0.56999999999999995</v>
      </c>
      <c r="BL44" s="15">
        <v>7</v>
      </c>
      <c r="BM44" s="14">
        <v>0.33</v>
      </c>
      <c r="BN44" s="8">
        <v>0</v>
      </c>
      <c r="BO44" s="14">
        <v>0</v>
      </c>
      <c r="BP44" s="14">
        <f t="shared" si="11"/>
        <v>0.4</v>
      </c>
      <c r="BQ44" s="14">
        <v>0</v>
      </c>
      <c r="BR44" s="15">
        <v>0</v>
      </c>
      <c r="BS44" s="15">
        <f t="shared" si="29"/>
        <v>0.129</v>
      </c>
      <c r="BT44" s="14">
        <v>0</v>
      </c>
      <c r="BU44" s="14">
        <v>0</v>
      </c>
      <c r="BV44" s="15">
        <v>42.25</v>
      </c>
      <c r="BW44" s="15">
        <v>5.0999999999999997E-2</v>
      </c>
      <c r="BX44" s="15">
        <f t="shared" si="13"/>
        <v>34.000000000000007</v>
      </c>
      <c r="BY44" s="14">
        <f t="shared" si="14"/>
        <v>0</v>
      </c>
      <c r="BZ44" s="14">
        <f t="shared" si="15"/>
        <v>0</v>
      </c>
      <c r="CA44" s="14">
        <f t="shared" si="16"/>
        <v>0</v>
      </c>
      <c r="CB44" s="14">
        <f t="shared" si="17"/>
        <v>34.000000000000007</v>
      </c>
      <c r="CC44" s="15">
        <f t="shared" si="18"/>
        <v>0.71299999999999997</v>
      </c>
      <c r="CD44" s="14">
        <f t="shared" si="19"/>
        <v>24.24</v>
      </c>
      <c r="CE44" s="14">
        <f t="shared" si="20"/>
        <v>0.97499999999999998</v>
      </c>
      <c r="CF44" s="14">
        <f t="shared" si="21"/>
        <v>23.63</v>
      </c>
      <c r="CG44" s="14">
        <f t="shared" si="22"/>
        <v>135</v>
      </c>
    </row>
    <row r="45" spans="1:85" ht="13.2" x14ac:dyDescent="0.25">
      <c r="A45" s="8">
        <v>30045</v>
      </c>
      <c r="B45" s="9" t="s">
        <v>138</v>
      </c>
      <c r="C45" s="9" t="s">
        <v>86</v>
      </c>
      <c r="D45" s="9">
        <v>1</v>
      </c>
      <c r="E45" s="9">
        <v>0</v>
      </c>
      <c r="F45" s="9">
        <v>0</v>
      </c>
      <c r="G45" s="9">
        <v>0</v>
      </c>
      <c r="H45" s="10">
        <v>13</v>
      </c>
      <c r="I45" s="9">
        <v>20</v>
      </c>
      <c r="J45" s="11">
        <f t="shared" si="0"/>
        <v>0.2</v>
      </c>
      <c r="K45" s="10">
        <v>318</v>
      </c>
      <c r="L45" s="11">
        <v>0.1</v>
      </c>
      <c r="M45" s="11">
        <v>0</v>
      </c>
      <c r="N45" s="11" t="s">
        <v>90</v>
      </c>
      <c r="O45" s="11">
        <v>3</v>
      </c>
      <c r="P45" s="12" t="s">
        <v>88</v>
      </c>
      <c r="Q45" s="12">
        <v>0</v>
      </c>
      <c r="R45" s="9">
        <v>28</v>
      </c>
      <c r="S45" s="10">
        <v>63</v>
      </c>
      <c r="T45" s="10">
        <v>28.91</v>
      </c>
      <c r="U45" s="10">
        <f t="shared" si="1"/>
        <v>0.5</v>
      </c>
      <c r="V45" s="10">
        <v>142.6</v>
      </c>
      <c r="W45" s="10">
        <f t="shared" si="2"/>
        <v>0.6</v>
      </c>
      <c r="X45" s="10">
        <v>27</v>
      </c>
      <c r="Y45" s="10">
        <v>10</v>
      </c>
      <c r="Z45" s="10">
        <v>0</v>
      </c>
      <c r="AA45" s="10">
        <v>2</v>
      </c>
      <c r="AB45" s="9">
        <v>18</v>
      </c>
      <c r="AC45" s="9">
        <f t="shared" si="3"/>
        <v>3</v>
      </c>
      <c r="AD45" s="9">
        <v>1</v>
      </c>
      <c r="AE45" s="9">
        <v>0.7</v>
      </c>
      <c r="AF45" s="9">
        <v>1.7500000000000002E-2</v>
      </c>
      <c r="AG45" s="9">
        <v>7</v>
      </c>
      <c r="AH45" s="9">
        <v>0.29199999999999998</v>
      </c>
      <c r="AI45" s="13">
        <v>55</v>
      </c>
      <c r="AJ45" s="9">
        <f t="shared" si="4"/>
        <v>0.6</v>
      </c>
      <c r="AK45" s="9">
        <v>0</v>
      </c>
      <c r="AL45" s="9">
        <v>0</v>
      </c>
      <c r="AM45" s="9">
        <v>0</v>
      </c>
      <c r="AN45" s="9">
        <v>0</v>
      </c>
      <c r="AO45" s="9">
        <f t="shared" si="28"/>
        <v>0</v>
      </c>
      <c r="AP45" s="9">
        <v>0</v>
      </c>
      <c r="AQ45" s="9">
        <f t="shared" si="6"/>
        <v>0.3</v>
      </c>
      <c r="AR45" s="9">
        <v>3.5</v>
      </c>
      <c r="AS45" s="9">
        <v>0</v>
      </c>
      <c r="AT45" s="9">
        <v>0</v>
      </c>
      <c r="AU45" s="9">
        <v>0</v>
      </c>
      <c r="AV45" s="9">
        <v>0</v>
      </c>
      <c r="AW45" s="12">
        <v>25</v>
      </c>
      <c r="AX45" s="9">
        <v>0.3</v>
      </c>
      <c r="AY45" s="9">
        <v>0</v>
      </c>
      <c r="AZ45" s="9">
        <f t="shared" si="31"/>
        <v>0</v>
      </c>
      <c r="BA45" s="9">
        <v>0</v>
      </c>
      <c r="BB45" s="9">
        <v>0</v>
      </c>
      <c r="BC45" s="9">
        <v>0</v>
      </c>
      <c r="BD45" s="9">
        <v>0</v>
      </c>
      <c r="BE45" s="9">
        <v>6.5</v>
      </c>
      <c r="BF45" s="9">
        <f t="shared" si="8"/>
        <v>0.1</v>
      </c>
      <c r="BG45" s="9">
        <f t="shared" si="32"/>
        <v>2</v>
      </c>
      <c r="BH45" s="9">
        <v>7</v>
      </c>
      <c r="BI45" s="9">
        <f t="shared" si="10"/>
        <v>0.3</v>
      </c>
      <c r="BJ45" s="9">
        <v>6</v>
      </c>
      <c r="BK45" s="9">
        <v>0.56999999999999995</v>
      </c>
      <c r="BL45" s="15">
        <v>6</v>
      </c>
      <c r="BM45" s="14">
        <v>0</v>
      </c>
      <c r="BN45" s="8">
        <v>0</v>
      </c>
      <c r="BO45" s="14">
        <v>0</v>
      </c>
      <c r="BP45" s="14">
        <f t="shared" si="11"/>
        <v>0.3</v>
      </c>
      <c r="BQ45" s="14">
        <v>0</v>
      </c>
      <c r="BR45" s="15">
        <v>0</v>
      </c>
      <c r="BS45" s="15">
        <f t="shared" si="29"/>
        <v>0.125</v>
      </c>
      <c r="BT45" s="14">
        <v>0</v>
      </c>
      <c r="BU45" s="14">
        <v>0</v>
      </c>
      <c r="BV45" s="15">
        <v>47.15</v>
      </c>
      <c r="BW45" s="15">
        <v>5.6000000000000001E-2</v>
      </c>
      <c r="BX45" s="15">
        <f t="shared" si="13"/>
        <v>27.500000000000004</v>
      </c>
      <c r="BY45" s="14">
        <f t="shared" si="14"/>
        <v>0</v>
      </c>
      <c r="BZ45" s="14">
        <f t="shared" si="15"/>
        <v>0</v>
      </c>
      <c r="CA45" s="14">
        <f t="shared" si="16"/>
        <v>0</v>
      </c>
      <c r="CB45" s="14">
        <f t="shared" si="17"/>
        <v>27.500000000000004</v>
      </c>
      <c r="CC45" s="15">
        <f t="shared" si="18"/>
        <v>0.71299999999999997</v>
      </c>
      <c r="CD45" s="14">
        <f t="shared" si="19"/>
        <v>19.61</v>
      </c>
      <c r="CE45" s="14">
        <f t="shared" si="20"/>
        <v>0.92500000000000004</v>
      </c>
      <c r="CF45" s="14">
        <f t="shared" si="21"/>
        <v>18.14</v>
      </c>
      <c r="CG45" s="14">
        <f t="shared" si="22"/>
        <v>168</v>
      </c>
    </row>
    <row r="46" spans="1:85" ht="13.2" x14ac:dyDescent="0.25">
      <c r="A46" s="8">
        <v>892829</v>
      </c>
      <c r="B46" s="9" t="s">
        <v>139</v>
      </c>
      <c r="C46" s="9" t="s">
        <v>86</v>
      </c>
      <c r="D46" s="9">
        <v>1</v>
      </c>
      <c r="E46" s="9">
        <v>0</v>
      </c>
      <c r="F46" s="9">
        <v>0</v>
      </c>
      <c r="G46" s="9">
        <v>0</v>
      </c>
      <c r="H46" s="10">
        <v>14</v>
      </c>
      <c r="I46" s="9">
        <v>13</v>
      </c>
      <c r="J46" s="11">
        <f t="shared" si="0"/>
        <v>0.2</v>
      </c>
      <c r="K46" s="10">
        <v>334</v>
      </c>
      <c r="L46" s="11">
        <v>0.1</v>
      </c>
      <c r="M46" s="11">
        <v>0</v>
      </c>
      <c r="N46" s="11" t="s">
        <v>87</v>
      </c>
      <c r="O46" s="11">
        <v>2</v>
      </c>
      <c r="P46" s="12" t="s">
        <v>88</v>
      </c>
      <c r="Q46" s="12">
        <v>0</v>
      </c>
      <c r="R46" s="9">
        <v>32</v>
      </c>
      <c r="S46" s="10">
        <v>83</v>
      </c>
      <c r="T46" s="10">
        <v>23.86</v>
      </c>
      <c r="U46" s="10">
        <f t="shared" si="1"/>
        <v>0.4</v>
      </c>
      <c r="V46" s="10">
        <v>125.09</v>
      </c>
      <c r="W46" s="10">
        <f t="shared" si="2"/>
        <v>0.5</v>
      </c>
      <c r="X46" s="10">
        <v>37</v>
      </c>
      <c r="Y46" s="10">
        <v>7</v>
      </c>
      <c r="Z46" s="10">
        <v>0</v>
      </c>
      <c r="AA46" s="10">
        <v>1</v>
      </c>
      <c r="AB46" s="9">
        <v>14</v>
      </c>
      <c r="AC46" s="9">
        <f t="shared" si="3"/>
        <v>3</v>
      </c>
      <c r="AD46" s="9">
        <v>1.5</v>
      </c>
      <c r="AE46" s="9">
        <v>0.6</v>
      </c>
      <c r="AF46" s="9">
        <v>1.4999999999999999E-2</v>
      </c>
      <c r="AG46" s="9">
        <v>6.5</v>
      </c>
      <c r="AH46" s="9">
        <v>0.42899999999999999</v>
      </c>
      <c r="AI46" s="13">
        <v>65</v>
      </c>
      <c r="AJ46" s="9">
        <f t="shared" si="4"/>
        <v>0.8</v>
      </c>
      <c r="AK46" s="9">
        <v>0</v>
      </c>
      <c r="AL46" s="9">
        <v>0</v>
      </c>
      <c r="AM46" s="9">
        <v>0</v>
      </c>
      <c r="AN46" s="9">
        <v>0</v>
      </c>
      <c r="AO46" s="9">
        <f t="shared" si="28"/>
        <v>0</v>
      </c>
      <c r="AP46" s="9">
        <v>0</v>
      </c>
      <c r="AQ46" s="9">
        <f t="shared" si="6"/>
        <v>0.5</v>
      </c>
      <c r="AR46" s="9">
        <v>5</v>
      </c>
      <c r="AS46" s="9">
        <v>0</v>
      </c>
      <c r="AT46" s="9">
        <v>0</v>
      </c>
      <c r="AU46" s="9">
        <v>0</v>
      </c>
      <c r="AV46" s="9">
        <v>0</v>
      </c>
      <c r="AW46" s="12">
        <v>27</v>
      </c>
      <c r="AX46" s="9">
        <v>0.3</v>
      </c>
      <c r="AY46" s="9">
        <v>0</v>
      </c>
      <c r="AZ46" s="9">
        <f t="shared" si="31"/>
        <v>0</v>
      </c>
      <c r="BA46" s="9">
        <v>0</v>
      </c>
      <c r="BB46" s="9">
        <v>0</v>
      </c>
      <c r="BC46" s="9">
        <v>0</v>
      </c>
      <c r="BD46" s="9">
        <v>0</v>
      </c>
      <c r="BE46" s="9">
        <v>6.5</v>
      </c>
      <c r="BF46" s="9">
        <f t="shared" si="8"/>
        <v>0.1</v>
      </c>
      <c r="BG46" s="9">
        <f t="shared" si="32"/>
        <v>2</v>
      </c>
      <c r="BH46" s="9">
        <v>8</v>
      </c>
      <c r="BI46" s="9">
        <f t="shared" si="10"/>
        <v>0.7</v>
      </c>
      <c r="BJ46" s="9">
        <v>9</v>
      </c>
      <c r="BK46" s="9">
        <v>1</v>
      </c>
      <c r="BL46" s="15">
        <v>6</v>
      </c>
      <c r="BM46" s="14">
        <v>0</v>
      </c>
      <c r="BN46" s="8">
        <v>0</v>
      </c>
      <c r="BO46" s="14">
        <v>0</v>
      </c>
      <c r="BP46" s="14">
        <f t="shared" si="11"/>
        <v>0.3</v>
      </c>
      <c r="BQ46" s="14">
        <v>0</v>
      </c>
      <c r="BR46" s="15">
        <v>0</v>
      </c>
      <c r="BS46" s="15">
        <f t="shared" si="29"/>
        <v>0.14900000000000002</v>
      </c>
      <c r="BT46" s="14">
        <v>0</v>
      </c>
      <c r="BU46" s="14">
        <v>0</v>
      </c>
      <c r="BV46" s="15">
        <v>71.3</v>
      </c>
      <c r="BW46" s="15">
        <v>8.2000000000000003E-2</v>
      </c>
      <c r="BX46" s="15">
        <f t="shared" si="13"/>
        <v>25.999999999999996</v>
      </c>
      <c r="BY46" s="14">
        <f t="shared" si="14"/>
        <v>0</v>
      </c>
      <c r="BZ46" s="14">
        <f t="shared" si="15"/>
        <v>0</v>
      </c>
      <c r="CA46" s="14">
        <f t="shared" si="16"/>
        <v>0</v>
      </c>
      <c r="CB46" s="14">
        <f t="shared" si="17"/>
        <v>25.999999999999996</v>
      </c>
      <c r="CC46" s="15">
        <f t="shared" si="18"/>
        <v>0.71499999999999997</v>
      </c>
      <c r="CD46" s="14">
        <f t="shared" si="19"/>
        <v>18.59</v>
      </c>
      <c r="CE46" s="14">
        <f t="shared" si="20"/>
        <v>0.875</v>
      </c>
      <c r="CF46" s="14">
        <f t="shared" si="21"/>
        <v>16.27</v>
      </c>
      <c r="CG46" s="14">
        <f t="shared" si="22"/>
        <v>174</v>
      </c>
    </row>
    <row r="47" spans="1:85" ht="13.2" x14ac:dyDescent="0.25">
      <c r="A47" s="8">
        <v>1000859</v>
      </c>
      <c r="B47" s="9" t="s">
        <v>140</v>
      </c>
      <c r="C47" s="9" t="s">
        <v>86</v>
      </c>
      <c r="D47" s="9">
        <v>1</v>
      </c>
      <c r="E47" s="9">
        <v>0</v>
      </c>
      <c r="F47" s="9">
        <v>0</v>
      </c>
      <c r="G47" s="9">
        <v>0</v>
      </c>
      <c r="H47" s="10">
        <v>8</v>
      </c>
      <c r="I47" s="9">
        <v>14</v>
      </c>
      <c r="J47" s="11">
        <f t="shared" si="0"/>
        <v>0.2</v>
      </c>
      <c r="K47" s="10">
        <v>285</v>
      </c>
      <c r="L47" s="11">
        <v>0.1</v>
      </c>
      <c r="M47" s="11">
        <v>0</v>
      </c>
      <c r="N47" s="11" t="s">
        <v>87</v>
      </c>
      <c r="O47" s="11">
        <v>1</v>
      </c>
      <c r="P47" s="12" t="s">
        <v>88</v>
      </c>
      <c r="Q47" s="12">
        <v>0</v>
      </c>
      <c r="R47" s="9">
        <v>33</v>
      </c>
      <c r="S47" s="10">
        <v>61</v>
      </c>
      <c r="T47" s="10">
        <v>35.630000000000003</v>
      </c>
      <c r="U47" s="10">
        <f t="shared" si="1"/>
        <v>0.6</v>
      </c>
      <c r="V47" s="10">
        <v>151.6</v>
      </c>
      <c r="W47" s="10">
        <f t="shared" si="2"/>
        <v>0.6</v>
      </c>
      <c r="X47" s="10">
        <v>36</v>
      </c>
      <c r="Y47" s="10">
        <v>12</v>
      </c>
      <c r="Z47" s="10">
        <v>0</v>
      </c>
      <c r="AA47" s="10">
        <v>2</v>
      </c>
      <c r="AB47" s="9">
        <v>12.5</v>
      </c>
      <c r="AC47" s="9">
        <f t="shared" si="3"/>
        <v>3</v>
      </c>
      <c r="AD47" s="9">
        <v>0</v>
      </c>
      <c r="AE47" s="9">
        <v>0.7</v>
      </c>
      <c r="AF47" s="9">
        <v>1.7500000000000002E-2</v>
      </c>
      <c r="AG47" s="9">
        <v>7</v>
      </c>
      <c r="AH47" s="9">
        <v>1.2999999999999999E-2</v>
      </c>
      <c r="AI47" s="13">
        <v>60</v>
      </c>
      <c r="AJ47" s="9">
        <f t="shared" si="4"/>
        <v>0.7</v>
      </c>
      <c r="AK47" s="9">
        <v>0</v>
      </c>
      <c r="AL47" s="9">
        <v>0</v>
      </c>
      <c r="AM47" s="9">
        <v>0</v>
      </c>
      <c r="AN47" s="9">
        <v>0</v>
      </c>
      <c r="AO47" s="9">
        <f t="shared" si="28"/>
        <v>0</v>
      </c>
      <c r="AP47" s="9">
        <v>0</v>
      </c>
      <c r="AQ47" s="9">
        <f t="shared" si="6"/>
        <v>0.5</v>
      </c>
      <c r="AR47" s="9">
        <v>5</v>
      </c>
      <c r="AS47" s="9">
        <v>0</v>
      </c>
      <c r="AT47" s="9">
        <v>0</v>
      </c>
      <c r="AU47" s="9">
        <v>0</v>
      </c>
      <c r="AV47" s="9">
        <v>0</v>
      </c>
      <c r="AW47" s="12">
        <v>24</v>
      </c>
      <c r="AX47" s="9">
        <v>0.2</v>
      </c>
      <c r="AY47" s="9">
        <v>0</v>
      </c>
      <c r="AZ47" s="9">
        <f t="shared" si="31"/>
        <v>0</v>
      </c>
      <c r="BA47" s="9">
        <v>0</v>
      </c>
      <c r="BB47" s="9">
        <v>0</v>
      </c>
      <c r="BC47" s="9">
        <v>0</v>
      </c>
      <c r="BD47" s="9">
        <v>0</v>
      </c>
      <c r="BE47" s="9">
        <v>7</v>
      </c>
      <c r="BF47" s="9">
        <f t="shared" si="8"/>
        <v>0.3</v>
      </c>
      <c r="BG47" s="9">
        <f t="shared" si="32"/>
        <v>2</v>
      </c>
      <c r="BH47" s="9">
        <v>7</v>
      </c>
      <c r="BI47" s="9">
        <f t="shared" si="10"/>
        <v>0.3</v>
      </c>
      <c r="BJ47" s="9">
        <v>5</v>
      </c>
      <c r="BK47" s="9">
        <v>0.43</v>
      </c>
      <c r="BL47" s="15">
        <v>7</v>
      </c>
      <c r="BM47" s="14">
        <v>0.33</v>
      </c>
      <c r="BN47" s="8">
        <v>0</v>
      </c>
      <c r="BO47" s="14">
        <v>0</v>
      </c>
      <c r="BP47" s="14">
        <f t="shared" si="11"/>
        <v>0.4</v>
      </c>
      <c r="BQ47" s="14">
        <v>0</v>
      </c>
      <c r="BR47" s="15">
        <v>0</v>
      </c>
      <c r="BS47" s="15">
        <f t="shared" si="29"/>
        <v>0.153</v>
      </c>
      <c r="BT47" s="14">
        <v>0</v>
      </c>
      <c r="BU47" s="14">
        <v>0</v>
      </c>
      <c r="BV47" s="15">
        <v>35.549999999999997</v>
      </c>
      <c r="BW47" s="15">
        <v>4.3999999999999997E-2</v>
      </c>
      <c r="BX47" s="15">
        <f t="shared" si="13"/>
        <v>32.500000000000007</v>
      </c>
      <c r="BY47" s="14">
        <f t="shared" si="14"/>
        <v>0</v>
      </c>
      <c r="BZ47" s="14">
        <f t="shared" si="15"/>
        <v>0</v>
      </c>
      <c r="CA47" s="14">
        <f t="shared" si="16"/>
        <v>0</v>
      </c>
      <c r="CB47" s="14">
        <f t="shared" si="17"/>
        <v>32.500000000000007</v>
      </c>
      <c r="CC47" s="15">
        <f t="shared" si="18"/>
        <v>0.71499999999999997</v>
      </c>
      <c r="CD47" s="14">
        <f t="shared" si="19"/>
        <v>23.24</v>
      </c>
      <c r="CE47" s="14">
        <f t="shared" si="20"/>
        <v>0.875</v>
      </c>
      <c r="CF47" s="14">
        <f t="shared" si="21"/>
        <v>20.34</v>
      </c>
      <c r="CG47" s="14">
        <f t="shared" si="22"/>
        <v>153</v>
      </c>
    </row>
    <row r="48" spans="1:85" ht="13.2" x14ac:dyDescent="0.25">
      <c r="A48" s="8">
        <v>1249232</v>
      </c>
      <c r="B48" s="9" t="s">
        <v>141</v>
      </c>
      <c r="C48" s="9" t="s">
        <v>86</v>
      </c>
      <c r="D48" s="9">
        <v>1</v>
      </c>
      <c r="E48" s="9">
        <v>0</v>
      </c>
      <c r="F48" s="9">
        <v>0</v>
      </c>
      <c r="G48" s="9">
        <v>0</v>
      </c>
      <c r="H48" s="10">
        <v>15</v>
      </c>
      <c r="I48" s="9">
        <v>10</v>
      </c>
      <c r="J48" s="11">
        <f t="shared" si="0"/>
        <v>0.5</v>
      </c>
      <c r="K48" s="10">
        <v>672</v>
      </c>
      <c r="L48" s="11">
        <v>0.1</v>
      </c>
      <c r="M48" s="11">
        <v>0</v>
      </c>
      <c r="N48" s="11" t="s">
        <v>87</v>
      </c>
      <c r="O48" s="11">
        <v>1</v>
      </c>
      <c r="P48" s="12" t="s">
        <v>88</v>
      </c>
      <c r="Q48" s="12">
        <v>0</v>
      </c>
      <c r="R48" s="9">
        <v>32</v>
      </c>
      <c r="S48" s="10">
        <v>92</v>
      </c>
      <c r="T48" s="10">
        <v>51.69</v>
      </c>
      <c r="U48" s="10">
        <f t="shared" si="1"/>
        <v>0.9</v>
      </c>
      <c r="V48" s="10">
        <v>139.71</v>
      </c>
      <c r="W48" s="10">
        <f t="shared" si="2"/>
        <v>0.6</v>
      </c>
      <c r="X48" s="10">
        <v>77</v>
      </c>
      <c r="Y48" s="10">
        <v>18</v>
      </c>
      <c r="Z48" s="10">
        <v>0</v>
      </c>
      <c r="AA48" s="10">
        <v>6</v>
      </c>
      <c r="AB48" s="9">
        <v>12.5</v>
      </c>
      <c r="AC48" s="9">
        <f t="shared" si="3"/>
        <v>3</v>
      </c>
      <c r="AD48" s="9">
        <v>0</v>
      </c>
      <c r="AE48" s="9">
        <v>0.7</v>
      </c>
      <c r="AF48" s="9">
        <v>1.7500000000000002E-2</v>
      </c>
      <c r="AG48" s="9">
        <v>7.5</v>
      </c>
      <c r="AH48" s="9">
        <v>0.222</v>
      </c>
      <c r="AI48" s="13">
        <v>75</v>
      </c>
      <c r="AJ48" s="9">
        <f t="shared" si="4"/>
        <v>0.9</v>
      </c>
      <c r="AK48" s="9">
        <v>0</v>
      </c>
      <c r="AL48" s="9">
        <v>0</v>
      </c>
      <c r="AM48" s="9">
        <v>0</v>
      </c>
      <c r="AN48" s="9">
        <v>0</v>
      </c>
      <c r="AO48" s="9">
        <f t="shared" si="28"/>
        <v>0</v>
      </c>
      <c r="AP48" s="9">
        <v>0</v>
      </c>
      <c r="AQ48" s="9">
        <f t="shared" si="6"/>
        <v>0.3</v>
      </c>
      <c r="AR48" s="9">
        <v>3.5</v>
      </c>
      <c r="AS48" s="9">
        <v>0</v>
      </c>
      <c r="AT48" s="9">
        <v>0</v>
      </c>
      <c r="AU48" s="9">
        <v>0</v>
      </c>
      <c r="AV48" s="9">
        <v>0</v>
      </c>
      <c r="AW48" s="12">
        <v>32</v>
      </c>
      <c r="AX48" s="9">
        <v>0.3</v>
      </c>
      <c r="AY48" s="9">
        <v>0</v>
      </c>
      <c r="AZ48" s="9">
        <f t="shared" si="31"/>
        <v>0</v>
      </c>
      <c r="BA48" s="9">
        <v>0</v>
      </c>
      <c r="BB48" s="9">
        <v>0</v>
      </c>
      <c r="BC48" s="9">
        <v>0</v>
      </c>
      <c r="BD48" s="9">
        <v>0</v>
      </c>
      <c r="BE48" s="9">
        <v>6.5</v>
      </c>
      <c r="BF48" s="9">
        <f t="shared" si="8"/>
        <v>0.1</v>
      </c>
      <c r="BG48" s="9">
        <f t="shared" si="32"/>
        <v>1</v>
      </c>
      <c r="BH48" s="9">
        <v>6</v>
      </c>
      <c r="BI48" s="9">
        <f t="shared" si="10"/>
        <v>0</v>
      </c>
      <c r="BJ48" s="9">
        <v>6</v>
      </c>
      <c r="BK48" s="9">
        <v>0.56999999999999995</v>
      </c>
      <c r="BL48" s="15">
        <v>6</v>
      </c>
      <c r="BM48" s="14">
        <v>0</v>
      </c>
      <c r="BN48" s="8">
        <v>0</v>
      </c>
      <c r="BO48" s="14">
        <v>0</v>
      </c>
      <c r="BP48" s="14">
        <f t="shared" si="11"/>
        <v>0.4</v>
      </c>
      <c r="BQ48" s="14">
        <v>0</v>
      </c>
      <c r="BR48" s="15">
        <v>0</v>
      </c>
      <c r="BS48" s="15">
        <f t="shared" si="29"/>
        <v>0.161</v>
      </c>
      <c r="BT48" s="14">
        <v>0</v>
      </c>
      <c r="BU48" s="14">
        <v>0</v>
      </c>
      <c r="BV48" s="15">
        <v>43.15</v>
      </c>
      <c r="BW48" s="15">
        <v>5.1999999999999998E-2</v>
      </c>
      <c r="BX48" s="15">
        <f t="shared" si="13"/>
        <v>31.500000000000007</v>
      </c>
      <c r="BY48" s="14">
        <f t="shared" si="14"/>
        <v>0</v>
      </c>
      <c r="BZ48" s="14">
        <f t="shared" si="15"/>
        <v>0</v>
      </c>
      <c r="CA48" s="14">
        <f t="shared" si="16"/>
        <v>0</v>
      </c>
      <c r="CB48" s="14">
        <f t="shared" si="17"/>
        <v>31.500000000000007</v>
      </c>
      <c r="CC48" s="15">
        <f t="shared" si="18"/>
        <v>0.71599999999999997</v>
      </c>
      <c r="CD48" s="14">
        <f t="shared" si="19"/>
        <v>22.55</v>
      </c>
      <c r="CE48" s="14">
        <f t="shared" si="20"/>
        <v>0.92500000000000004</v>
      </c>
      <c r="CF48" s="14">
        <f t="shared" si="21"/>
        <v>20.86</v>
      </c>
      <c r="CG48" s="14">
        <f t="shared" si="22"/>
        <v>150</v>
      </c>
    </row>
    <row r="49" spans="1:85" ht="13.2" x14ac:dyDescent="0.25">
      <c r="A49" s="8">
        <v>381743</v>
      </c>
      <c r="B49" s="9" t="s">
        <v>142</v>
      </c>
      <c r="C49" s="9" t="s">
        <v>86</v>
      </c>
      <c r="D49" s="9">
        <v>1</v>
      </c>
      <c r="E49" s="9">
        <v>0</v>
      </c>
      <c r="F49" s="9">
        <v>0</v>
      </c>
      <c r="G49" s="9">
        <v>0</v>
      </c>
      <c r="H49" s="10">
        <v>16</v>
      </c>
      <c r="I49" s="9">
        <v>9</v>
      </c>
      <c r="J49" s="11">
        <f t="shared" si="0"/>
        <v>0.3</v>
      </c>
      <c r="K49" s="10">
        <v>360</v>
      </c>
      <c r="L49" s="11">
        <v>0.1</v>
      </c>
      <c r="M49" s="11">
        <v>0</v>
      </c>
      <c r="N49" s="11" t="s">
        <v>90</v>
      </c>
      <c r="O49" s="11">
        <v>1</v>
      </c>
      <c r="P49" s="12" t="s">
        <v>143</v>
      </c>
      <c r="Q49" s="12">
        <v>1</v>
      </c>
      <c r="R49" s="9">
        <v>21</v>
      </c>
      <c r="S49" s="10">
        <v>65</v>
      </c>
      <c r="T49" s="10">
        <v>25.71</v>
      </c>
      <c r="U49" s="10">
        <f t="shared" si="1"/>
        <v>0.5</v>
      </c>
      <c r="V49" s="10">
        <v>152.54</v>
      </c>
      <c r="W49" s="10">
        <f t="shared" si="2"/>
        <v>0.6</v>
      </c>
      <c r="X49" s="10">
        <v>37</v>
      </c>
      <c r="Y49" s="10">
        <v>15</v>
      </c>
      <c r="Z49" s="10">
        <v>0</v>
      </c>
      <c r="AA49" s="10">
        <v>2</v>
      </c>
      <c r="AB49" s="9">
        <v>12.5</v>
      </c>
      <c r="AC49" s="9">
        <f t="shared" si="3"/>
        <v>3</v>
      </c>
      <c r="AD49" s="9">
        <v>0</v>
      </c>
      <c r="AE49" s="9">
        <v>0.6</v>
      </c>
      <c r="AF49" s="9">
        <v>1.4999999999999999E-2</v>
      </c>
      <c r="AG49" s="9">
        <v>7</v>
      </c>
      <c r="AH49" s="9">
        <v>0.05</v>
      </c>
      <c r="AI49" s="13">
        <v>40</v>
      </c>
      <c r="AJ49" s="9">
        <f t="shared" si="4"/>
        <v>0.4</v>
      </c>
      <c r="AK49" s="9">
        <v>0</v>
      </c>
      <c r="AL49" s="9">
        <v>0</v>
      </c>
      <c r="AM49" s="9">
        <v>0</v>
      </c>
      <c r="AN49" s="9">
        <v>0</v>
      </c>
      <c r="AO49" s="9">
        <f t="shared" si="28"/>
        <v>0</v>
      </c>
      <c r="AP49" s="9">
        <v>0</v>
      </c>
      <c r="AQ49" s="9">
        <f t="shared" si="6"/>
        <v>0.1</v>
      </c>
      <c r="AR49" s="9">
        <v>2.5</v>
      </c>
      <c r="AS49" s="9">
        <v>0</v>
      </c>
      <c r="AT49" s="9">
        <v>0</v>
      </c>
      <c r="AU49" s="9">
        <v>0</v>
      </c>
      <c r="AV49" s="9">
        <v>0</v>
      </c>
      <c r="AW49" s="12">
        <v>34</v>
      </c>
      <c r="AX49" s="9">
        <v>0.3</v>
      </c>
      <c r="AY49" s="9">
        <v>0</v>
      </c>
      <c r="AZ49" s="9">
        <f t="shared" si="31"/>
        <v>0</v>
      </c>
      <c r="BA49" s="9">
        <v>0</v>
      </c>
      <c r="BB49" s="9">
        <v>0</v>
      </c>
      <c r="BC49" s="9">
        <v>0</v>
      </c>
      <c r="BD49" s="9">
        <v>0</v>
      </c>
      <c r="BE49" s="9">
        <v>7</v>
      </c>
      <c r="BF49" s="9">
        <f t="shared" si="8"/>
        <v>0.3</v>
      </c>
      <c r="BG49" s="9">
        <f t="shared" si="32"/>
        <v>2</v>
      </c>
      <c r="BH49" s="9">
        <v>6</v>
      </c>
      <c r="BI49" s="9">
        <f t="shared" si="10"/>
        <v>0</v>
      </c>
      <c r="BJ49" s="9">
        <v>6</v>
      </c>
      <c r="BK49" s="9">
        <v>0.56999999999999995</v>
      </c>
      <c r="BL49" s="15">
        <v>6</v>
      </c>
      <c r="BM49" s="14">
        <v>0</v>
      </c>
      <c r="BN49" s="8">
        <v>0</v>
      </c>
      <c r="BO49" s="14">
        <v>0</v>
      </c>
      <c r="BP49" s="14">
        <f t="shared" si="11"/>
        <v>0.3</v>
      </c>
      <c r="BQ49" s="14">
        <v>0</v>
      </c>
      <c r="BR49" s="15">
        <v>0</v>
      </c>
      <c r="BS49" s="15">
        <f t="shared" si="29"/>
        <v>0.11699999999999999</v>
      </c>
      <c r="BT49" s="14">
        <v>0</v>
      </c>
      <c r="BU49" s="14">
        <v>0</v>
      </c>
      <c r="BV49" s="15">
        <v>44.75</v>
      </c>
      <c r="BW49" s="15">
        <v>5.3999999999999999E-2</v>
      </c>
      <c r="BX49" s="15">
        <f t="shared" si="13"/>
        <v>29.500000000000004</v>
      </c>
      <c r="BY49" s="14">
        <f t="shared" si="14"/>
        <v>0</v>
      </c>
      <c r="BZ49" s="14">
        <f t="shared" si="15"/>
        <v>0</v>
      </c>
      <c r="CA49" s="14">
        <f t="shared" si="16"/>
        <v>0</v>
      </c>
      <c r="CB49" s="14">
        <f t="shared" si="17"/>
        <v>29.500000000000004</v>
      </c>
      <c r="CC49" s="15">
        <f t="shared" si="18"/>
        <v>0.71199999999999997</v>
      </c>
      <c r="CD49" s="14">
        <f t="shared" si="19"/>
        <v>21</v>
      </c>
      <c r="CE49" s="14">
        <f t="shared" si="20"/>
        <v>0.97499999999999998</v>
      </c>
      <c r="CF49" s="14">
        <f t="shared" si="21"/>
        <v>20.48</v>
      </c>
      <c r="CG49" s="14">
        <f t="shared" si="22"/>
        <v>151</v>
      </c>
    </row>
    <row r="50" spans="1:85" ht="13.2" x14ac:dyDescent="0.25">
      <c r="A50" s="8">
        <v>398438</v>
      </c>
      <c r="B50" s="9" t="s">
        <v>144</v>
      </c>
      <c r="C50" s="9" t="s">
        <v>86</v>
      </c>
      <c r="D50" s="9">
        <v>1</v>
      </c>
      <c r="E50" s="9">
        <v>0</v>
      </c>
      <c r="F50" s="9">
        <v>0</v>
      </c>
      <c r="G50" s="9">
        <v>0</v>
      </c>
      <c r="H50" s="10">
        <v>25</v>
      </c>
      <c r="I50" s="9">
        <v>17</v>
      </c>
      <c r="J50" s="11">
        <f t="shared" si="0"/>
        <v>0.5</v>
      </c>
      <c r="K50" s="10">
        <v>642</v>
      </c>
      <c r="L50" s="11">
        <v>0.1</v>
      </c>
      <c r="M50" s="11">
        <v>0</v>
      </c>
      <c r="N50" s="11" t="s">
        <v>96</v>
      </c>
      <c r="O50" s="11">
        <v>1</v>
      </c>
      <c r="P50" s="12" t="s">
        <v>103</v>
      </c>
      <c r="Q50" s="12">
        <v>1</v>
      </c>
      <c r="R50" s="9">
        <v>26</v>
      </c>
      <c r="S50" s="10">
        <v>67</v>
      </c>
      <c r="T50" s="10">
        <v>37.76</v>
      </c>
      <c r="U50" s="10">
        <f t="shared" si="1"/>
        <v>0.7</v>
      </c>
      <c r="V50" s="10">
        <v>149.30000000000001</v>
      </c>
      <c r="W50" s="10">
        <f t="shared" si="2"/>
        <v>0.6</v>
      </c>
      <c r="X50" s="10">
        <v>44</v>
      </c>
      <c r="Y50" s="10">
        <v>37</v>
      </c>
      <c r="Z50" s="10">
        <v>0</v>
      </c>
      <c r="AA50" s="10">
        <v>4</v>
      </c>
      <c r="AB50" s="9">
        <v>11</v>
      </c>
      <c r="AC50" s="9">
        <f t="shared" si="3"/>
        <v>3</v>
      </c>
      <c r="AD50" s="9">
        <v>0</v>
      </c>
      <c r="AE50" s="9">
        <v>0.7</v>
      </c>
      <c r="AF50" s="9">
        <v>1.7500000000000002E-2</v>
      </c>
      <c r="AG50" s="9">
        <v>9</v>
      </c>
      <c r="AH50" s="9">
        <v>0.26</v>
      </c>
      <c r="AI50" s="13">
        <v>35</v>
      </c>
      <c r="AJ50" s="9">
        <f t="shared" si="4"/>
        <v>0.4</v>
      </c>
      <c r="AK50" s="9">
        <v>0</v>
      </c>
      <c r="AL50" s="9">
        <v>0</v>
      </c>
      <c r="AM50" s="9">
        <v>0</v>
      </c>
      <c r="AN50" s="9">
        <v>0</v>
      </c>
      <c r="AO50" s="9">
        <f t="shared" si="28"/>
        <v>0</v>
      </c>
      <c r="AP50" s="9">
        <v>0</v>
      </c>
      <c r="AQ50" s="9">
        <f t="shared" si="6"/>
        <v>0.1</v>
      </c>
      <c r="AR50" s="9">
        <v>2.5</v>
      </c>
      <c r="AS50" s="9">
        <v>0</v>
      </c>
      <c r="AT50" s="9">
        <v>0</v>
      </c>
      <c r="AU50" s="9">
        <v>0</v>
      </c>
      <c r="AV50" s="9">
        <v>0</v>
      </c>
      <c r="AW50" s="12">
        <v>20</v>
      </c>
      <c r="AX50" s="9">
        <v>0.2</v>
      </c>
      <c r="AY50" s="9">
        <v>0</v>
      </c>
      <c r="AZ50" s="9">
        <f t="shared" si="31"/>
        <v>0</v>
      </c>
      <c r="BA50" s="9">
        <v>0</v>
      </c>
      <c r="BB50" s="9">
        <v>0</v>
      </c>
      <c r="BC50" s="9">
        <v>0</v>
      </c>
      <c r="BD50" s="9">
        <v>0</v>
      </c>
      <c r="BE50" s="9">
        <v>8.5</v>
      </c>
      <c r="BF50" s="9">
        <f t="shared" si="8"/>
        <v>0.6</v>
      </c>
      <c r="BG50" s="9">
        <f t="shared" si="32"/>
        <v>1</v>
      </c>
      <c r="BH50" s="9">
        <v>7</v>
      </c>
      <c r="BI50" s="9">
        <f t="shared" si="10"/>
        <v>0.3</v>
      </c>
      <c r="BJ50" s="9">
        <v>7</v>
      </c>
      <c r="BK50" s="9">
        <v>0.71</v>
      </c>
      <c r="BL50" s="15">
        <v>7</v>
      </c>
      <c r="BM50" s="14">
        <v>0.33</v>
      </c>
      <c r="BN50" s="8">
        <v>0</v>
      </c>
      <c r="BO50" s="14">
        <v>0</v>
      </c>
      <c r="BP50" s="14">
        <f t="shared" si="11"/>
        <v>0.4</v>
      </c>
      <c r="BQ50" s="14">
        <v>0</v>
      </c>
      <c r="BR50" s="15">
        <v>0</v>
      </c>
      <c r="BS50" s="15">
        <f t="shared" si="29"/>
        <v>0.14100000000000001</v>
      </c>
      <c r="BT50" s="14">
        <v>0</v>
      </c>
      <c r="BU50" s="14">
        <v>0</v>
      </c>
      <c r="BV50" s="15">
        <v>51.35</v>
      </c>
      <c r="BW50" s="15">
        <v>6.0999999999999999E-2</v>
      </c>
      <c r="BX50" s="15">
        <f t="shared" si="13"/>
        <v>35.500000000000007</v>
      </c>
      <c r="BY50" s="14">
        <f t="shared" si="14"/>
        <v>0</v>
      </c>
      <c r="BZ50" s="14">
        <f t="shared" si="15"/>
        <v>0</v>
      </c>
      <c r="CA50" s="14">
        <f t="shared" si="16"/>
        <v>0</v>
      </c>
      <c r="CB50" s="14">
        <f t="shared" si="17"/>
        <v>35.500000000000007</v>
      </c>
      <c r="CC50" s="15">
        <f t="shared" si="18"/>
        <v>0.71399999999999997</v>
      </c>
      <c r="CD50" s="14">
        <f t="shared" si="19"/>
        <v>25.35</v>
      </c>
      <c r="CE50" s="14">
        <f t="shared" si="20"/>
        <v>0.97499999999999998</v>
      </c>
      <c r="CF50" s="14">
        <f t="shared" si="21"/>
        <v>24.72</v>
      </c>
      <c r="CG50" s="14">
        <f t="shared" si="22"/>
        <v>128</v>
      </c>
    </row>
    <row r="51" spans="1:85" ht="13.2" x14ac:dyDescent="0.25">
      <c r="A51" s="8">
        <v>298438</v>
      </c>
      <c r="B51" s="9" t="s">
        <v>145</v>
      </c>
      <c r="C51" s="9" t="s">
        <v>86</v>
      </c>
      <c r="D51" s="9">
        <v>1</v>
      </c>
      <c r="E51" s="9">
        <v>0</v>
      </c>
      <c r="F51" s="9">
        <v>0</v>
      </c>
      <c r="G51" s="9">
        <v>0</v>
      </c>
      <c r="H51" s="10">
        <v>24</v>
      </c>
      <c r="I51" s="9">
        <v>20</v>
      </c>
      <c r="J51" s="11">
        <f t="shared" si="0"/>
        <v>0.3</v>
      </c>
      <c r="K51" s="10">
        <v>425</v>
      </c>
      <c r="L51" s="11">
        <v>0.1</v>
      </c>
      <c r="M51" s="11">
        <v>0</v>
      </c>
      <c r="N51" s="11" t="s">
        <v>96</v>
      </c>
      <c r="O51" s="11">
        <v>2</v>
      </c>
      <c r="P51" s="12" t="s">
        <v>88</v>
      </c>
      <c r="Q51" s="12">
        <v>0</v>
      </c>
      <c r="R51" s="9">
        <v>26</v>
      </c>
      <c r="S51" s="10">
        <v>56</v>
      </c>
      <c r="T51" s="10">
        <v>30.36</v>
      </c>
      <c r="U51" s="10">
        <f t="shared" si="1"/>
        <v>0.5</v>
      </c>
      <c r="V51" s="10">
        <v>151.25</v>
      </c>
      <c r="W51" s="10">
        <f t="shared" si="2"/>
        <v>0.6</v>
      </c>
      <c r="X51" s="10">
        <v>23</v>
      </c>
      <c r="Y51" s="10">
        <v>30</v>
      </c>
      <c r="Z51" s="10">
        <v>0</v>
      </c>
      <c r="AA51" s="10">
        <v>1</v>
      </c>
      <c r="AB51" s="10">
        <v>0</v>
      </c>
      <c r="AC51" s="9">
        <f t="shared" si="3"/>
        <v>2</v>
      </c>
      <c r="AD51" s="9">
        <v>0</v>
      </c>
      <c r="AE51" s="9">
        <v>0.7</v>
      </c>
      <c r="AF51" s="9">
        <v>1.7500000000000002E-2</v>
      </c>
      <c r="AG51" s="9">
        <v>7.5</v>
      </c>
      <c r="AH51" s="9">
        <v>0.24299999999999999</v>
      </c>
      <c r="AI51" s="13">
        <v>60</v>
      </c>
      <c r="AJ51" s="9">
        <f t="shared" si="4"/>
        <v>0.7</v>
      </c>
      <c r="AK51" s="9">
        <v>0</v>
      </c>
      <c r="AL51" s="9">
        <v>24</v>
      </c>
      <c r="AM51" s="9">
        <v>0</v>
      </c>
      <c r="AN51" s="9">
        <v>0</v>
      </c>
      <c r="AO51" s="9">
        <f t="shared" si="28"/>
        <v>0</v>
      </c>
      <c r="AP51" s="9">
        <v>0</v>
      </c>
      <c r="AQ51" s="9">
        <f t="shared" si="6"/>
        <v>0.3</v>
      </c>
      <c r="AR51" s="9">
        <v>3.5</v>
      </c>
      <c r="AS51" s="9">
        <v>0</v>
      </c>
      <c r="AT51" s="9">
        <v>0</v>
      </c>
      <c r="AU51" s="9">
        <v>0</v>
      </c>
      <c r="AV51" s="9">
        <v>0</v>
      </c>
      <c r="AW51" s="12">
        <v>29</v>
      </c>
      <c r="AX51" s="9">
        <v>0.3</v>
      </c>
      <c r="AY51" s="9">
        <v>0</v>
      </c>
      <c r="AZ51" s="9">
        <f t="shared" si="31"/>
        <v>0</v>
      </c>
      <c r="BA51" s="9">
        <v>0</v>
      </c>
      <c r="BB51" s="9">
        <v>0</v>
      </c>
      <c r="BC51" s="9">
        <v>0</v>
      </c>
      <c r="BD51" s="9">
        <v>0</v>
      </c>
      <c r="BE51" s="9">
        <v>6.5</v>
      </c>
      <c r="BF51" s="9">
        <f t="shared" si="8"/>
        <v>0.1</v>
      </c>
      <c r="BG51" s="9">
        <f t="shared" si="32"/>
        <v>1</v>
      </c>
      <c r="BH51" s="9">
        <v>7</v>
      </c>
      <c r="BI51" s="9">
        <f t="shared" si="10"/>
        <v>0.3</v>
      </c>
      <c r="BJ51" s="9">
        <v>6</v>
      </c>
      <c r="BK51" s="9">
        <v>0.56999999999999995</v>
      </c>
      <c r="BL51" s="15">
        <v>8</v>
      </c>
      <c r="BM51" s="14">
        <v>0.67</v>
      </c>
      <c r="BN51" s="8">
        <v>0</v>
      </c>
      <c r="BO51" s="14">
        <v>0</v>
      </c>
      <c r="BP51" s="14">
        <f t="shared" si="11"/>
        <v>0.3</v>
      </c>
      <c r="BQ51" s="14">
        <v>0</v>
      </c>
      <c r="BR51" s="15">
        <v>0</v>
      </c>
      <c r="BS51" s="15">
        <f t="shared" si="29"/>
        <v>0.13700000000000001</v>
      </c>
      <c r="BT51" s="14">
        <v>0</v>
      </c>
      <c r="BU51" s="14">
        <v>0</v>
      </c>
      <c r="BV51" s="15">
        <v>37.15</v>
      </c>
      <c r="BW51" s="15">
        <v>4.4999999999999998E-2</v>
      </c>
      <c r="BX51" s="15">
        <f t="shared" si="13"/>
        <v>27.500000000000004</v>
      </c>
      <c r="BY51" s="14">
        <f t="shared" si="14"/>
        <v>0</v>
      </c>
      <c r="BZ51" s="14">
        <f t="shared" si="15"/>
        <v>0</v>
      </c>
      <c r="CA51" s="14">
        <f t="shared" si="16"/>
        <v>0</v>
      </c>
      <c r="CB51" s="14">
        <f t="shared" si="17"/>
        <v>27.500000000000004</v>
      </c>
      <c r="CC51" s="15">
        <f t="shared" si="18"/>
        <v>0.71399999999999997</v>
      </c>
      <c r="CD51" s="14">
        <f t="shared" si="19"/>
        <v>19.64</v>
      </c>
      <c r="CE51" s="14">
        <f t="shared" si="20"/>
        <v>0.92500000000000004</v>
      </c>
      <c r="CF51" s="14">
        <f t="shared" si="21"/>
        <v>18.170000000000002</v>
      </c>
      <c r="CG51" s="14">
        <f t="shared" si="22"/>
        <v>167</v>
      </c>
    </row>
    <row r="52" spans="1:85" ht="13.2" x14ac:dyDescent="0.25">
      <c r="A52" s="8">
        <v>379140</v>
      </c>
      <c r="B52" s="9" t="s">
        <v>146</v>
      </c>
      <c r="C52" s="9" t="s">
        <v>86</v>
      </c>
      <c r="D52" s="9">
        <v>1</v>
      </c>
      <c r="E52" s="9">
        <v>0</v>
      </c>
      <c r="F52" s="9">
        <v>0</v>
      </c>
      <c r="G52" s="9">
        <v>0</v>
      </c>
      <c r="H52" s="10">
        <v>17</v>
      </c>
      <c r="I52" s="9">
        <v>12</v>
      </c>
      <c r="J52" s="11">
        <f t="shared" si="0"/>
        <v>0.3</v>
      </c>
      <c r="K52" s="10">
        <v>384</v>
      </c>
      <c r="L52" s="11">
        <v>0.1</v>
      </c>
      <c r="M52" s="11">
        <v>0</v>
      </c>
      <c r="N52" s="11" t="s">
        <v>90</v>
      </c>
      <c r="O52" s="11">
        <v>3</v>
      </c>
      <c r="P52" s="12" t="s">
        <v>88</v>
      </c>
      <c r="Q52" s="12">
        <v>0</v>
      </c>
      <c r="R52" s="9">
        <v>32</v>
      </c>
      <c r="S52" s="10">
        <v>63</v>
      </c>
      <c r="T52" s="10">
        <v>29.54</v>
      </c>
      <c r="U52" s="10">
        <f t="shared" si="1"/>
        <v>0.5</v>
      </c>
      <c r="V52" s="10">
        <v>147.69</v>
      </c>
      <c r="W52" s="10">
        <f t="shared" si="2"/>
        <v>0.6</v>
      </c>
      <c r="X52" s="10">
        <v>34</v>
      </c>
      <c r="Y52" s="10">
        <v>17</v>
      </c>
      <c r="Z52" s="10">
        <v>0</v>
      </c>
      <c r="AA52" s="10">
        <v>3</v>
      </c>
      <c r="AB52" s="10">
        <v>0</v>
      </c>
      <c r="AC52" s="9">
        <f t="shared" si="3"/>
        <v>2</v>
      </c>
      <c r="AD52" s="9">
        <v>0</v>
      </c>
      <c r="AE52" s="9">
        <v>0.7</v>
      </c>
      <c r="AF52" s="9">
        <v>1.7500000000000002E-2</v>
      </c>
      <c r="AG52" s="9">
        <v>7.5</v>
      </c>
      <c r="AH52" s="9">
        <v>0.109</v>
      </c>
      <c r="AI52" s="13">
        <v>50</v>
      </c>
      <c r="AJ52" s="9">
        <f t="shared" si="4"/>
        <v>0.6</v>
      </c>
      <c r="AK52" s="9">
        <v>0</v>
      </c>
      <c r="AL52" s="9">
        <v>36</v>
      </c>
      <c r="AM52" s="9">
        <v>0</v>
      </c>
      <c r="AN52" s="9">
        <v>0</v>
      </c>
      <c r="AO52" s="9">
        <f t="shared" si="28"/>
        <v>0</v>
      </c>
      <c r="AP52" s="9">
        <v>0</v>
      </c>
      <c r="AQ52" s="9">
        <f t="shared" si="6"/>
        <v>0.4</v>
      </c>
      <c r="AR52" s="9">
        <v>4.5</v>
      </c>
      <c r="AS52" s="9">
        <v>0</v>
      </c>
      <c r="AT52" s="9">
        <v>0</v>
      </c>
      <c r="AU52" s="9">
        <v>0</v>
      </c>
      <c r="AV52" s="9">
        <v>0</v>
      </c>
      <c r="AW52" s="12">
        <v>18</v>
      </c>
      <c r="AX52" s="9">
        <v>0.2</v>
      </c>
      <c r="AY52" s="9">
        <v>0</v>
      </c>
      <c r="AZ52" s="9">
        <f t="shared" si="31"/>
        <v>0</v>
      </c>
      <c r="BA52" s="9">
        <v>0</v>
      </c>
      <c r="BB52" s="9">
        <v>0</v>
      </c>
      <c r="BC52" s="9">
        <v>0</v>
      </c>
      <c r="BD52" s="9">
        <v>0</v>
      </c>
      <c r="BE52" s="9">
        <v>7</v>
      </c>
      <c r="BF52" s="9">
        <f t="shared" si="8"/>
        <v>0.3</v>
      </c>
      <c r="BG52" s="9">
        <f t="shared" si="32"/>
        <v>2</v>
      </c>
      <c r="BH52" s="9">
        <v>7</v>
      </c>
      <c r="BI52" s="9">
        <f t="shared" si="10"/>
        <v>0.3</v>
      </c>
      <c r="BJ52" s="9">
        <v>8</v>
      </c>
      <c r="BK52" s="9">
        <v>0.86</v>
      </c>
      <c r="BL52" s="15">
        <v>8</v>
      </c>
      <c r="BM52" s="14">
        <v>0.67</v>
      </c>
      <c r="BN52" s="8">
        <v>0</v>
      </c>
      <c r="BO52" s="14">
        <v>0</v>
      </c>
      <c r="BP52" s="14">
        <f t="shared" si="11"/>
        <v>0.4</v>
      </c>
      <c r="BQ52" s="14">
        <v>0</v>
      </c>
      <c r="BR52" s="15">
        <v>0</v>
      </c>
      <c r="BS52" s="15">
        <f t="shared" si="29"/>
        <v>0.14099999999999999</v>
      </c>
      <c r="BT52" s="14">
        <v>0</v>
      </c>
      <c r="BU52" s="14">
        <v>0</v>
      </c>
      <c r="BV52" s="15">
        <v>50.7</v>
      </c>
      <c r="BW52" s="15">
        <v>0.06</v>
      </c>
      <c r="BX52" s="15">
        <f t="shared" si="13"/>
        <v>32.500000000000007</v>
      </c>
      <c r="BY52" s="14">
        <f t="shared" si="14"/>
        <v>0</v>
      </c>
      <c r="BZ52" s="14">
        <f t="shared" si="15"/>
        <v>0</v>
      </c>
      <c r="CA52" s="14">
        <f t="shared" si="16"/>
        <v>0</v>
      </c>
      <c r="CB52" s="14">
        <f t="shared" si="17"/>
        <v>32.500000000000007</v>
      </c>
      <c r="CC52" s="15">
        <f t="shared" si="18"/>
        <v>0.71399999999999997</v>
      </c>
      <c r="CD52" s="14">
        <f t="shared" si="19"/>
        <v>23.21</v>
      </c>
      <c r="CE52" s="14">
        <f t="shared" si="20"/>
        <v>0.9</v>
      </c>
      <c r="CF52" s="14">
        <f t="shared" si="21"/>
        <v>20.89</v>
      </c>
      <c r="CG52" s="14">
        <f t="shared" si="22"/>
        <v>149</v>
      </c>
    </row>
    <row r="53" spans="1:85" ht="13.2" x14ac:dyDescent="0.25">
      <c r="A53" s="8">
        <v>1249244</v>
      </c>
      <c r="B53" s="9" t="s">
        <v>147</v>
      </c>
      <c r="C53" s="9" t="s">
        <v>86</v>
      </c>
      <c r="D53" s="9">
        <v>1</v>
      </c>
      <c r="E53" s="9">
        <v>0</v>
      </c>
      <c r="F53" s="9">
        <v>0</v>
      </c>
      <c r="G53" s="9">
        <v>0</v>
      </c>
      <c r="H53" s="10">
        <v>19</v>
      </c>
      <c r="I53" s="9">
        <v>10</v>
      </c>
      <c r="J53" s="11">
        <f t="shared" si="0"/>
        <v>0.2</v>
      </c>
      <c r="K53" s="10">
        <v>275</v>
      </c>
      <c r="L53" s="11">
        <v>0.1</v>
      </c>
      <c r="M53" s="11">
        <v>0</v>
      </c>
      <c r="N53" s="11" t="s">
        <v>96</v>
      </c>
      <c r="O53" s="11">
        <v>3</v>
      </c>
      <c r="P53" s="12" t="s">
        <v>88</v>
      </c>
      <c r="Q53" s="12">
        <v>0</v>
      </c>
      <c r="R53" s="9">
        <v>30</v>
      </c>
      <c r="S53" s="10">
        <v>36</v>
      </c>
      <c r="T53" s="10">
        <v>25</v>
      </c>
      <c r="U53" s="10">
        <f t="shared" si="1"/>
        <v>0.5</v>
      </c>
      <c r="V53" s="10">
        <v>147.85</v>
      </c>
      <c r="W53" s="10">
        <f t="shared" si="2"/>
        <v>0.6</v>
      </c>
      <c r="X53" s="10">
        <v>27</v>
      </c>
      <c r="Y53" s="10">
        <v>12</v>
      </c>
      <c r="Z53" s="10">
        <v>0</v>
      </c>
      <c r="AA53" s="10">
        <v>0</v>
      </c>
      <c r="AB53" s="10">
        <v>0</v>
      </c>
      <c r="AC53" s="9">
        <f t="shared" si="3"/>
        <v>2</v>
      </c>
      <c r="AD53" s="9">
        <v>0</v>
      </c>
      <c r="AE53" s="9">
        <v>0.7</v>
      </c>
      <c r="AF53" s="9">
        <v>1.7500000000000002E-2</v>
      </c>
      <c r="AG53" s="9">
        <v>6.5</v>
      </c>
      <c r="AH53" s="9">
        <v>0.5</v>
      </c>
      <c r="AI53" s="13">
        <v>55</v>
      </c>
      <c r="AJ53" s="9">
        <f t="shared" si="4"/>
        <v>0.6</v>
      </c>
      <c r="AK53" s="9">
        <v>0</v>
      </c>
      <c r="AL53" s="9">
        <v>32</v>
      </c>
      <c r="AM53" s="9">
        <v>0</v>
      </c>
      <c r="AN53" s="9">
        <v>0</v>
      </c>
      <c r="AO53" s="9">
        <f t="shared" si="28"/>
        <v>0</v>
      </c>
      <c r="AP53" s="9">
        <v>0</v>
      </c>
      <c r="AQ53" s="9">
        <f t="shared" si="6"/>
        <v>0.3</v>
      </c>
      <c r="AR53" s="9">
        <v>4</v>
      </c>
      <c r="AS53" s="9">
        <v>0</v>
      </c>
      <c r="AT53" s="9">
        <v>0</v>
      </c>
      <c r="AU53" s="9">
        <v>0</v>
      </c>
      <c r="AV53" s="9">
        <v>0</v>
      </c>
      <c r="AW53" s="12">
        <v>22</v>
      </c>
      <c r="AX53" s="9">
        <v>0.2</v>
      </c>
      <c r="AY53" s="9">
        <v>0</v>
      </c>
      <c r="AZ53" s="9">
        <f t="shared" si="31"/>
        <v>0</v>
      </c>
      <c r="BA53" s="9">
        <v>0</v>
      </c>
      <c r="BB53" s="9">
        <v>0</v>
      </c>
      <c r="BC53" s="9">
        <v>0</v>
      </c>
      <c r="BD53" s="9">
        <v>0</v>
      </c>
      <c r="BE53" s="9">
        <v>7</v>
      </c>
      <c r="BF53" s="9">
        <f t="shared" si="8"/>
        <v>0.3</v>
      </c>
      <c r="BG53" s="9">
        <f t="shared" si="32"/>
        <v>2</v>
      </c>
      <c r="BH53" s="9">
        <v>7</v>
      </c>
      <c r="BI53" s="9">
        <f t="shared" si="10"/>
        <v>0.3</v>
      </c>
      <c r="BJ53" s="9">
        <v>7</v>
      </c>
      <c r="BK53" s="9">
        <v>0.71</v>
      </c>
      <c r="BL53" s="15">
        <v>7</v>
      </c>
      <c r="BM53" s="14">
        <v>0.33</v>
      </c>
      <c r="BN53" s="8">
        <v>0</v>
      </c>
      <c r="BO53" s="14">
        <v>0</v>
      </c>
      <c r="BP53" s="14">
        <f t="shared" si="11"/>
        <v>0.4</v>
      </c>
      <c r="BQ53" s="14">
        <v>0</v>
      </c>
      <c r="BR53" s="15">
        <v>0</v>
      </c>
      <c r="BS53" s="15">
        <f t="shared" si="29"/>
        <v>0.14099999999999999</v>
      </c>
      <c r="BT53" s="14">
        <v>0</v>
      </c>
      <c r="BU53" s="14">
        <v>0</v>
      </c>
      <c r="BV53" s="15">
        <v>48.95</v>
      </c>
      <c r="BW53" s="15">
        <v>5.8000000000000003E-2</v>
      </c>
      <c r="BX53" s="15">
        <f t="shared" si="13"/>
        <v>32.500000000000007</v>
      </c>
      <c r="BY53" s="14">
        <f t="shared" si="14"/>
        <v>0</v>
      </c>
      <c r="BZ53" s="14">
        <f t="shared" si="15"/>
        <v>0</v>
      </c>
      <c r="CA53" s="14">
        <f t="shared" si="16"/>
        <v>0</v>
      </c>
      <c r="CB53" s="14">
        <f t="shared" si="17"/>
        <v>32.500000000000007</v>
      </c>
      <c r="CC53" s="15">
        <f t="shared" si="18"/>
        <v>0.71399999999999997</v>
      </c>
      <c r="CD53" s="14">
        <f t="shared" si="19"/>
        <v>23.21</v>
      </c>
      <c r="CE53" s="14">
        <f t="shared" si="20"/>
        <v>0.92500000000000004</v>
      </c>
      <c r="CF53" s="14">
        <f t="shared" si="21"/>
        <v>21.47</v>
      </c>
      <c r="CG53" s="14">
        <f t="shared" si="22"/>
        <v>148</v>
      </c>
    </row>
    <row r="54" spans="1:85" ht="13.2" x14ac:dyDescent="0.25">
      <c r="A54" s="8">
        <v>625371</v>
      </c>
      <c r="B54" s="9" t="s">
        <v>148</v>
      </c>
      <c r="C54" s="9" t="s">
        <v>86</v>
      </c>
      <c r="D54" s="9">
        <v>1</v>
      </c>
      <c r="E54" s="9">
        <v>0</v>
      </c>
      <c r="F54" s="9">
        <v>0</v>
      </c>
      <c r="G54" s="9">
        <v>1</v>
      </c>
      <c r="H54" s="10">
        <v>26</v>
      </c>
      <c r="I54" s="9">
        <v>9</v>
      </c>
      <c r="J54" s="11">
        <f t="shared" si="0"/>
        <v>0.4</v>
      </c>
      <c r="K54" s="10">
        <v>496</v>
      </c>
      <c r="L54" s="11">
        <v>0.1</v>
      </c>
      <c r="M54" s="11">
        <v>0</v>
      </c>
      <c r="N54" s="11" t="s">
        <v>96</v>
      </c>
      <c r="O54" s="11">
        <v>2</v>
      </c>
      <c r="P54" s="12" t="s">
        <v>94</v>
      </c>
      <c r="Q54" s="12">
        <v>1</v>
      </c>
      <c r="R54" s="9">
        <v>29</v>
      </c>
      <c r="S54" s="10">
        <v>49</v>
      </c>
      <c r="T54" s="10">
        <v>20.67</v>
      </c>
      <c r="U54" s="10">
        <f t="shared" si="1"/>
        <v>0.4</v>
      </c>
      <c r="V54" s="10">
        <v>145.88</v>
      </c>
      <c r="W54" s="10">
        <f t="shared" si="2"/>
        <v>0.6</v>
      </c>
      <c r="X54" s="10">
        <v>31</v>
      </c>
      <c r="Y54" s="10">
        <v>33</v>
      </c>
      <c r="Z54" s="10">
        <v>0</v>
      </c>
      <c r="AA54" s="10">
        <v>0</v>
      </c>
      <c r="AB54" s="10">
        <v>0</v>
      </c>
      <c r="AC54" s="9">
        <f t="shared" si="3"/>
        <v>2</v>
      </c>
      <c r="AD54" s="9">
        <v>0</v>
      </c>
      <c r="AE54" s="9">
        <v>0.7</v>
      </c>
      <c r="AF54" s="9">
        <v>1.7500000000000002E-2</v>
      </c>
      <c r="AG54" s="9">
        <v>7</v>
      </c>
      <c r="AH54" s="9">
        <v>0.24</v>
      </c>
      <c r="AI54" s="13">
        <v>60</v>
      </c>
      <c r="AJ54" s="9">
        <f t="shared" si="4"/>
        <v>0.7</v>
      </c>
      <c r="AK54" s="9">
        <v>0</v>
      </c>
      <c r="AL54" s="9">
        <v>30</v>
      </c>
      <c r="AM54" s="9">
        <v>0</v>
      </c>
      <c r="AN54" s="9">
        <v>0</v>
      </c>
      <c r="AO54" s="9">
        <f t="shared" si="28"/>
        <v>0</v>
      </c>
      <c r="AP54" s="9">
        <v>0</v>
      </c>
      <c r="AQ54" s="9">
        <f t="shared" si="6"/>
        <v>0.1</v>
      </c>
      <c r="AR54" s="9">
        <v>2.5</v>
      </c>
      <c r="AS54" s="9">
        <v>0</v>
      </c>
      <c r="AT54" s="9">
        <v>0</v>
      </c>
      <c r="AU54" s="9">
        <v>0</v>
      </c>
      <c r="AV54" s="9">
        <v>0</v>
      </c>
      <c r="AW54" s="12">
        <v>24</v>
      </c>
      <c r="AX54" s="9">
        <v>0.2</v>
      </c>
      <c r="AY54" s="9">
        <v>12</v>
      </c>
      <c r="AZ54" s="9">
        <v>0.75</v>
      </c>
      <c r="BA54" s="9">
        <v>0</v>
      </c>
      <c r="BB54" s="9">
        <v>0</v>
      </c>
      <c r="BC54" s="9">
        <v>0</v>
      </c>
      <c r="BD54" s="9">
        <v>0</v>
      </c>
      <c r="BE54" s="9">
        <v>7</v>
      </c>
      <c r="BF54" s="9">
        <f t="shared" si="8"/>
        <v>0.3</v>
      </c>
      <c r="BG54" s="9">
        <f t="shared" si="32"/>
        <v>1</v>
      </c>
      <c r="BH54" s="9">
        <v>8</v>
      </c>
      <c r="BI54" s="9">
        <f t="shared" si="10"/>
        <v>0.7</v>
      </c>
      <c r="BJ54" s="9">
        <v>6</v>
      </c>
      <c r="BK54" s="9">
        <v>0.56999999999999995</v>
      </c>
      <c r="BL54" s="15">
        <v>7</v>
      </c>
      <c r="BM54" s="14">
        <v>0.33</v>
      </c>
      <c r="BN54" s="8">
        <v>0</v>
      </c>
      <c r="BO54" s="14">
        <v>0.7</v>
      </c>
      <c r="BP54" s="14">
        <f t="shared" si="11"/>
        <v>0.4</v>
      </c>
      <c r="BQ54" s="14">
        <v>0</v>
      </c>
      <c r="BR54" s="15">
        <v>0</v>
      </c>
      <c r="BS54" s="15">
        <f t="shared" si="29"/>
        <v>0.153</v>
      </c>
      <c r="BT54" s="14">
        <v>0</v>
      </c>
      <c r="BU54" s="14">
        <v>0</v>
      </c>
      <c r="BV54" s="15">
        <v>46.25</v>
      </c>
      <c r="BW54" s="15">
        <v>5.5E-2</v>
      </c>
      <c r="BX54" s="15">
        <f t="shared" si="13"/>
        <v>32.500000000000007</v>
      </c>
      <c r="BY54" s="14">
        <f t="shared" si="14"/>
        <v>0</v>
      </c>
      <c r="BZ54" s="14">
        <f t="shared" si="15"/>
        <v>0</v>
      </c>
      <c r="CA54" s="14">
        <f t="shared" si="16"/>
        <v>57</v>
      </c>
      <c r="CB54" s="14">
        <f t="shared" si="17"/>
        <v>89.5</v>
      </c>
      <c r="CC54" s="15">
        <f t="shared" si="18"/>
        <v>0.71499999999999997</v>
      </c>
      <c r="CD54" s="14">
        <f t="shared" si="19"/>
        <v>63.99</v>
      </c>
      <c r="CE54" s="14">
        <f t="shared" si="20"/>
        <v>0.96499999999999997</v>
      </c>
      <c r="CF54" s="14">
        <f t="shared" si="21"/>
        <v>61.75</v>
      </c>
      <c r="CG54" s="14">
        <f t="shared" si="22"/>
        <v>19</v>
      </c>
    </row>
    <row r="55" spans="1:85" ht="13.2" x14ac:dyDescent="0.25">
      <c r="A55" s="8">
        <v>793463</v>
      </c>
      <c r="B55" s="9" t="s">
        <v>149</v>
      </c>
      <c r="C55" s="9" t="s">
        <v>86</v>
      </c>
      <c r="D55" s="9">
        <v>1</v>
      </c>
      <c r="E55" s="9">
        <v>0</v>
      </c>
      <c r="F55" s="9">
        <v>0</v>
      </c>
      <c r="G55" s="9">
        <v>1</v>
      </c>
      <c r="H55" s="10">
        <v>23</v>
      </c>
      <c r="I55" s="9">
        <v>13</v>
      </c>
      <c r="J55" s="11">
        <f t="shared" si="0"/>
        <v>0.2</v>
      </c>
      <c r="K55" s="10">
        <v>265</v>
      </c>
      <c r="L55" s="11">
        <v>0.1</v>
      </c>
      <c r="M55" s="11">
        <v>0</v>
      </c>
      <c r="N55" s="11" t="s">
        <v>96</v>
      </c>
      <c r="O55" s="11">
        <v>3</v>
      </c>
      <c r="P55" s="12" t="s">
        <v>88</v>
      </c>
      <c r="Q55" s="12">
        <v>0</v>
      </c>
      <c r="R55" s="9">
        <v>42</v>
      </c>
      <c r="S55" s="10">
        <v>37</v>
      </c>
      <c r="T55" s="10">
        <v>37.86</v>
      </c>
      <c r="U55" s="10">
        <f t="shared" si="1"/>
        <v>0.7</v>
      </c>
      <c r="V55" s="10">
        <v>203.85</v>
      </c>
      <c r="W55" s="10">
        <f t="shared" si="2"/>
        <v>0.9</v>
      </c>
      <c r="X55" s="10">
        <v>17</v>
      </c>
      <c r="Y55" s="10">
        <v>23</v>
      </c>
      <c r="Z55" s="10">
        <v>0</v>
      </c>
      <c r="AA55" s="10">
        <v>0</v>
      </c>
      <c r="AB55" s="10">
        <v>0</v>
      </c>
      <c r="AC55" s="9">
        <f t="shared" si="3"/>
        <v>2</v>
      </c>
      <c r="AD55" s="9">
        <v>0</v>
      </c>
      <c r="AE55" s="9">
        <v>0.6</v>
      </c>
      <c r="AF55" s="9">
        <v>1.4999999999999999E-2</v>
      </c>
      <c r="AG55" s="9">
        <v>7</v>
      </c>
      <c r="AH55" s="9">
        <v>0.01</v>
      </c>
      <c r="AI55" s="13">
        <v>65</v>
      </c>
      <c r="AJ55" s="9">
        <f t="shared" si="4"/>
        <v>0.8</v>
      </c>
      <c r="AK55" s="9">
        <v>0</v>
      </c>
      <c r="AL55" s="9">
        <v>0</v>
      </c>
      <c r="AM55" s="9">
        <v>0</v>
      </c>
      <c r="AN55" s="9">
        <v>0</v>
      </c>
      <c r="AO55" s="9">
        <f t="shared" si="28"/>
        <v>0</v>
      </c>
      <c r="AP55" s="9">
        <v>0</v>
      </c>
      <c r="AQ55" s="9">
        <f t="shared" si="6"/>
        <v>1</v>
      </c>
      <c r="AR55" s="9">
        <v>8</v>
      </c>
      <c r="AS55" s="9">
        <v>0</v>
      </c>
      <c r="AT55" s="9">
        <v>0</v>
      </c>
      <c r="AU55" s="9">
        <v>0</v>
      </c>
      <c r="AV55" s="9">
        <v>0</v>
      </c>
      <c r="AW55" s="12">
        <v>54</v>
      </c>
      <c r="AX55" s="9">
        <v>0.5</v>
      </c>
      <c r="AY55" s="9">
        <v>10</v>
      </c>
      <c r="AZ55" s="9">
        <v>0.6</v>
      </c>
      <c r="BA55" s="9">
        <v>0</v>
      </c>
      <c r="BB55" s="9">
        <v>0</v>
      </c>
      <c r="BC55" s="9">
        <v>0</v>
      </c>
      <c r="BD55" s="9">
        <v>0</v>
      </c>
      <c r="BE55" s="9">
        <v>6.5</v>
      </c>
      <c r="BF55" s="9">
        <f t="shared" si="8"/>
        <v>0.1</v>
      </c>
      <c r="BG55" s="9">
        <f t="shared" si="32"/>
        <v>2</v>
      </c>
      <c r="BH55" s="9">
        <v>7</v>
      </c>
      <c r="BI55" s="9">
        <f t="shared" si="10"/>
        <v>0.3</v>
      </c>
      <c r="BJ55" s="9">
        <v>6</v>
      </c>
      <c r="BK55" s="9">
        <v>0.56999999999999995</v>
      </c>
      <c r="BL55" s="15">
        <v>7</v>
      </c>
      <c r="BM55" s="14">
        <v>0.33</v>
      </c>
      <c r="BN55" s="8">
        <v>0</v>
      </c>
      <c r="BO55" s="14">
        <v>0.6</v>
      </c>
      <c r="BP55" s="14">
        <f t="shared" si="11"/>
        <v>0.5</v>
      </c>
      <c r="BQ55" s="14">
        <v>0</v>
      </c>
      <c r="BR55" s="15">
        <v>0.62</v>
      </c>
      <c r="BS55" s="15">
        <f t="shared" si="29"/>
        <v>5.6620000000000011E-2</v>
      </c>
      <c r="BT55" s="14">
        <v>0</v>
      </c>
      <c r="BU55" s="14">
        <v>0</v>
      </c>
      <c r="BV55" s="15">
        <v>45.15</v>
      </c>
      <c r="BW55" s="15">
        <v>5.3999999999999999E-2</v>
      </c>
      <c r="BX55" s="15">
        <f t="shared" si="13"/>
        <v>42</v>
      </c>
      <c r="BY55" s="14">
        <f t="shared" si="14"/>
        <v>0</v>
      </c>
      <c r="BZ55" s="14">
        <f t="shared" si="15"/>
        <v>0</v>
      </c>
      <c r="CA55" s="14">
        <f t="shared" si="16"/>
        <v>46</v>
      </c>
      <c r="CB55" s="14">
        <f t="shared" si="17"/>
        <v>88</v>
      </c>
      <c r="CC55" s="15">
        <f t="shared" si="18"/>
        <v>0.83</v>
      </c>
      <c r="CD55" s="14">
        <f t="shared" si="19"/>
        <v>73.040000000000006</v>
      </c>
      <c r="CE55" s="14">
        <f t="shared" si="20"/>
        <v>0.65</v>
      </c>
      <c r="CF55" s="14">
        <f t="shared" si="21"/>
        <v>47.48</v>
      </c>
      <c r="CG55" s="14">
        <f t="shared" si="22"/>
        <v>33</v>
      </c>
    </row>
    <row r="56" spans="1:85" ht="13.2" x14ac:dyDescent="0.25">
      <c r="A56" s="8">
        <v>1109460</v>
      </c>
      <c r="B56" s="9" t="s">
        <v>150</v>
      </c>
      <c r="C56" s="9" t="s">
        <v>86</v>
      </c>
      <c r="D56" s="9">
        <v>1</v>
      </c>
      <c r="E56" s="9">
        <v>0</v>
      </c>
      <c r="F56" s="9">
        <v>0</v>
      </c>
      <c r="G56" s="9">
        <v>0</v>
      </c>
      <c r="H56" s="10">
        <v>8</v>
      </c>
      <c r="I56" s="9">
        <v>20</v>
      </c>
      <c r="J56" s="11">
        <f t="shared" si="0"/>
        <v>0.2</v>
      </c>
      <c r="K56" s="10">
        <v>230</v>
      </c>
      <c r="L56" s="11">
        <v>0.1</v>
      </c>
      <c r="M56" s="11">
        <v>0</v>
      </c>
      <c r="N56" s="11" t="s">
        <v>90</v>
      </c>
      <c r="O56" s="11">
        <v>3</v>
      </c>
      <c r="P56" s="12" t="s">
        <v>88</v>
      </c>
      <c r="Q56" s="12">
        <v>0</v>
      </c>
      <c r="R56" s="9">
        <v>25</v>
      </c>
      <c r="S56" s="10">
        <v>100</v>
      </c>
      <c r="T56" s="10">
        <v>32.86</v>
      </c>
      <c r="U56" s="10">
        <f t="shared" si="1"/>
        <v>0.6</v>
      </c>
      <c r="V56" s="10">
        <v>175.57</v>
      </c>
      <c r="W56" s="10">
        <f t="shared" si="2"/>
        <v>0.7</v>
      </c>
      <c r="X56" s="10">
        <v>16</v>
      </c>
      <c r="Y56" s="10">
        <v>18</v>
      </c>
      <c r="Z56" s="10">
        <v>1</v>
      </c>
      <c r="AA56" s="10">
        <v>1</v>
      </c>
      <c r="AB56" s="10">
        <v>0</v>
      </c>
      <c r="AC56" s="9">
        <f t="shared" si="3"/>
        <v>2</v>
      </c>
      <c r="AD56" s="9">
        <v>0</v>
      </c>
      <c r="AE56" s="9">
        <v>0.6</v>
      </c>
      <c r="AF56" s="9">
        <v>1.4999999999999999E-2</v>
      </c>
      <c r="AG56" s="9">
        <v>6.5</v>
      </c>
      <c r="AH56" s="9">
        <v>0.5</v>
      </c>
      <c r="AI56" s="13">
        <v>45</v>
      </c>
      <c r="AJ56" s="9">
        <f t="shared" si="4"/>
        <v>0.5</v>
      </c>
      <c r="AK56" s="9">
        <v>0</v>
      </c>
      <c r="AL56" s="9">
        <v>0</v>
      </c>
      <c r="AM56" s="9">
        <v>0</v>
      </c>
      <c r="AN56" s="9">
        <v>0</v>
      </c>
      <c r="AO56" s="9">
        <f t="shared" si="28"/>
        <v>0</v>
      </c>
      <c r="AP56" s="9">
        <v>0</v>
      </c>
      <c r="AQ56" s="9">
        <f t="shared" si="6"/>
        <v>0.2</v>
      </c>
      <c r="AR56" s="9">
        <v>3</v>
      </c>
      <c r="AS56" s="9">
        <v>0</v>
      </c>
      <c r="AT56" s="9">
        <v>0</v>
      </c>
      <c r="AU56" s="9">
        <v>0</v>
      </c>
      <c r="AV56" s="9">
        <v>0</v>
      </c>
      <c r="AW56" s="12">
        <v>32</v>
      </c>
      <c r="AX56" s="9">
        <v>0.3</v>
      </c>
      <c r="AY56" s="9">
        <v>0</v>
      </c>
      <c r="AZ56" s="9">
        <f>(AP56 - MIN($AP$2:$AP$964)) / (MAX($AP$2:$AP$964) - MIN($AP$2:$AP$964))</f>
        <v>0</v>
      </c>
      <c r="BA56" s="9">
        <v>0</v>
      </c>
      <c r="BB56" s="9">
        <v>0</v>
      </c>
      <c r="BC56" s="9">
        <v>0</v>
      </c>
      <c r="BD56" s="9">
        <v>0</v>
      </c>
      <c r="BE56" s="9">
        <v>6</v>
      </c>
      <c r="BF56" s="9">
        <f t="shared" si="8"/>
        <v>0</v>
      </c>
      <c r="BG56" s="9">
        <f t="shared" si="32"/>
        <v>2</v>
      </c>
      <c r="BH56" s="9">
        <v>6</v>
      </c>
      <c r="BI56" s="9">
        <f t="shared" si="10"/>
        <v>0</v>
      </c>
      <c r="BJ56" s="9">
        <v>7</v>
      </c>
      <c r="BK56" s="9">
        <v>0.71</v>
      </c>
      <c r="BL56" s="15">
        <v>7</v>
      </c>
      <c r="BM56" s="14">
        <v>0.33</v>
      </c>
      <c r="BN56" s="8">
        <v>0</v>
      </c>
      <c r="BO56" s="14">
        <v>0</v>
      </c>
      <c r="BP56" s="14">
        <f t="shared" si="11"/>
        <v>0.4</v>
      </c>
      <c r="BQ56" s="14">
        <v>0</v>
      </c>
      <c r="BR56" s="15">
        <v>0</v>
      </c>
      <c r="BS56" s="15">
        <f t="shared" si="29"/>
        <v>0.10500000000000001</v>
      </c>
      <c r="BT56" s="14">
        <v>0</v>
      </c>
      <c r="BU56" s="14">
        <v>0</v>
      </c>
      <c r="BV56" s="15">
        <v>44.05</v>
      </c>
      <c r="BW56" s="15">
        <v>5.2999999999999999E-2</v>
      </c>
      <c r="BX56" s="15">
        <f t="shared" si="13"/>
        <v>32.000000000000007</v>
      </c>
      <c r="BY56" s="14">
        <f t="shared" si="14"/>
        <v>0</v>
      </c>
      <c r="BZ56" s="14">
        <f t="shared" si="15"/>
        <v>0</v>
      </c>
      <c r="CA56" s="14">
        <f t="shared" si="16"/>
        <v>0</v>
      </c>
      <c r="CB56" s="14">
        <f t="shared" si="17"/>
        <v>32.000000000000007</v>
      </c>
      <c r="CC56" s="15">
        <f t="shared" si="18"/>
        <v>0.71099999999999997</v>
      </c>
      <c r="CD56" s="14">
        <f t="shared" si="19"/>
        <v>22.75</v>
      </c>
      <c r="CE56" s="14">
        <f t="shared" si="20"/>
        <v>0.95</v>
      </c>
      <c r="CF56" s="14">
        <f t="shared" si="21"/>
        <v>21.61</v>
      </c>
      <c r="CG56" s="14">
        <f t="shared" si="22"/>
        <v>147</v>
      </c>
    </row>
    <row r="57" spans="1:85" ht="13.2" x14ac:dyDescent="0.25">
      <c r="A57" s="8">
        <v>276298</v>
      </c>
      <c r="B57" s="9" t="s">
        <v>151</v>
      </c>
      <c r="C57" s="9" t="s">
        <v>86</v>
      </c>
      <c r="D57" s="9">
        <v>1</v>
      </c>
      <c r="E57" s="9">
        <v>0</v>
      </c>
      <c r="F57" s="9">
        <v>0</v>
      </c>
      <c r="G57" s="9">
        <v>1</v>
      </c>
      <c r="H57" s="10">
        <v>27</v>
      </c>
      <c r="I57" s="9">
        <v>7</v>
      </c>
      <c r="J57" s="11">
        <f t="shared" si="0"/>
        <v>0.4</v>
      </c>
      <c r="K57" s="10">
        <v>512</v>
      </c>
      <c r="L57" s="11">
        <v>0.1</v>
      </c>
      <c r="M57" s="11">
        <v>0</v>
      </c>
      <c r="N57" s="11" t="s">
        <v>87</v>
      </c>
      <c r="O57" s="11">
        <v>3</v>
      </c>
      <c r="P57" s="12" t="s">
        <v>88</v>
      </c>
      <c r="Q57" s="12">
        <v>0</v>
      </c>
      <c r="R57" s="9">
        <v>39</v>
      </c>
      <c r="S57" s="10">
        <v>81</v>
      </c>
      <c r="T57" s="10">
        <v>19.690000000000001</v>
      </c>
      <c r="U57" s="10">
        <f t="shared" si="1"/>
        <v>0.4</v>
      </c>
      <c r="V57" s="10">
        <v>125.18</v>
      </c>
      <c r="W57" s="10">
        <f t="shared" si="2"/>
        <v>0.5</v>
      </c>
      <c r="X57" s="10">
        <v>66</v>
      </c>
      <c r="Y57" s="10">
        <v>11</v>
      </c>
      <c r="Z57" s="10">
        <v>0</v>
      </c>
      <c r="AA57" s="10">
        <v>2</v>
      </c>
      <c r="AB57" s="10">
        <v>0</v>
      </c>
      <c r="AC57" s="9">
        <f t="shared" si="3"/>
        <v>2</v>
      </c>
      <c r="AD57" s="9">
        <v>0</v>
      </c>
      <c r="AE57" s="9">
        <v>0.7</v>
      </c>
      <c r="AF57" s="9">
        <v>1.7500000000000002E-2</v>
      </c>
      <c r="AG57" s="9">
        <v>6</v>
      </c>
      <c r="AH57" s="9">
        <v>7.3999999999999996E-2</v>
      </c>
      <c r="AI57" s="13">
        <v>60</v>
      </c>
      <c r="AJ57" s="9">
        <f t="shared" si="4"/>
        <v>0.7</v>
      </c>
      <c r="AK57" s="9">
        <v>0</v>
      </c>
      <c r="AL57" s="9">
        <v>0</v>
      </c>
      <c r="AM57" s="9">
        <v>0</v>
      </c>
      <c r="AN57" s="9">
        <v>0</v>
      </c>
      <c r="AO57" s="9">
        <f t="shared" si="28"/>
        <v>0</v>
      </c>
      <c r="AP57" s="9">
        <v>0</v>
      </c>
      <c r="AQ57" s="9">
        <f t="shared" si="6"/>
        <v>0.7</v>
      </c>
      <c r="AR57" s="9">
        <v>6</v>
      </c>
      <c r="AS57" s="9">
        <v>0</v>
      </c>
      <c r="AT57" s="9">
        <v>0</v>
      </c>
      <c r="AU57" s="9">
        <v>0</v>
      </c>
      <c r="AV57" s="9">
        <v>0</v>
      </c>
      <c r="AW57" s="12">
        <v>23</v>
      </c>
      <c r="AX57" s="9">
        <v>0.2</v>
      </c>
      <c r="AY57" s="9">
        <v>6</v>
      </c>
      <c r="AZ57" s="9">
        <v>0.37</v>
      </c>
      <c r="BA57" s="9">
        <v>0</v>
      </c>
      <c r="BB57" s="9">
        <v>0</v>
      </c>
      <c r="BC57" s="9">
        <v>0</v>
      </c>
      <c r="BD57" s="9">
        <v>0</v>
      </c>
      <c r="BE57" s="9">
        <v>6.5</v>
      </c>
      <c r="BF57" s="9">
        <f t="shared" si="8"/>
        <v>0.1</v>
      </c>
      <c r="BG57" s="9">
        <f t="shared" si="32"/>
        <v>1</v>
      </c>
      <c r="BH57" s="9">
        <v>6</v>
      </c>
      <c r="BI57" s="9">
        <f t="shared" si="10"/>
        <v>0</v>
      </c>
      <c r="BJ57" s="9">
        <v>9</v>
      </c>
      <c r="BK57" s="9">
        <v>1</v>
      </c>
      <c r="BL57" s="15">
        <v>6</v>
      </c>
      <c r="BM57" s="14">
        <v>0</v>
      </c>
      <c r="BN57" s="8">
        <v>0</v>
      </c>
      <c r="BO57" s="14">
        <v>0.4</v>
      </c>
      <c r="BP57" s="14">
        <f t="shared" si="11"/>
        <v>0.3</v>
      </c>
      <c r="BQ57" s="14">
        <v>0</v>
      </c>
      <c r="BR57" s="15">
        <v>0</v>
      </c>
      <c r="BS57" s="15">
        <f t="shared" si="29"/>
        <v>0.13700000000000001</v>
      </c>
      <c r="BT57" s="14">
        <v>0</v>
      </c>
      <c r="BU57" s="14">
        <v>0</v>
      </c>
      <c r="BV57" s="15">
        <v>61.8</v>
      </c>
      <c r="BW57" s="15">
        <v>7.1999999999999995E-2</v>
      </c>
      <c r="BX57" s="15">
        <f t="shared" si="13"/>
        <v>25</v>
      </c>
      <c r="BY57" s="14">
        <f t="shared" si="14"/>
        <v>0</v>
      </c>
      <c r="BZ57" s="14">
        <f t="shared" si="15"/>
        <v>0</v>
      </c>
      <c r="CA57" s="14">
        <f t="shared" si="16"/>
        <v>30.1</v>
      </c>
      <c r="CB57" s="14">
        <f t="shared" si="17"/>
        <v>55.1</v>
      </c>
      <c r="CC57" s="15">
        <f t="shared" si="18"/>
        <v>0.71399999999999997</v>
      </c>
      <c r="CD57" s="14">
        <f t="shared" si="19"/>
        <v>39.340000000000003</v>
      </c>
      <c r="CE57" s="14">
        <f t="shared" si="20"/>
        <v>0.755</v>
      </c>
      <c r="CF57" s="14">
        <f t="shared" si="21"/>
        <v>29.7</v>
      </c>
      <c r="CG57" s="14">
        <f t="shared" si="22"/>
        <v>104</v>
      </c>
    </row>
    <row r="58" spans="1:85" ht="13.2" x14ac:dyDescent="0.25">
      <c r="A58" s="8">
        <v>272450</v>
      </c>
      <c r="B58" s="9" t="s">
        <v>152</v>
      </c>
      <c r="C58" s="9" t="s">
        <v>86</v>
      </c>
      <c r="D58" s="9">
        <v>1</v>
      </c>
      <c r="E58" s="9">
        <v>0</v>
      </c>
      <c r="F58" s="9">
        <v>0</v>
      </c>
      <c r="G58" s="9">
        <v>0</v>
      </c>
      <c r="H58" s="10">
        <v>10</v>
      </c>
      <c r="I58" s="9">
        <v>7</v>
      </c>
      <c r="J58" s="11">
        <f t="shared" si="0"/>
        <v>0.1</v>
      </c>
      <c r="K58" s="10">
        <v>202</v>
      </c>
      <c r="L58" s="11">
        <v>0.1</v>
      </c>
      <c r="M58" s="11">
        <v>0</v>
      </c>
      <c r="N58" s="11" t="s">
        <v>90</v>
      </c>
      <c r="O58" s="11">
        <v>2</v>
      </c>
      <c r="P58" s="12" t="s">
        <v>88</v>
      </c>
      <c r="Q58" s="12">
        <v>0</v>
      </c>
      <c r="R58" s="9">
        <v>34</v>
      </c>
      <c r="S58" s="10">
        <v>50</v>
      </c>
      <c r="T58" s="10">
        <v>20.2</v>
      </c>
      <c r="U58" s="10">
        <f t="shared" si="1"/>
        <v>0.4</v>
      </c>
      <c r="V58" s="10">
        <v>114.12</v>
      </c>
      <c r="W58" s="10">
        <f t="shared" si="2"/>
        <v>0.5</v>
      </c>
      <c r="X58" s="10">
        <v>17</v>
      </c>
      <c r="Y58" s="10">
        <v>5</v>
      </c>
      <c r="Z58" s="10">
        <v>0</v>
      </c>
      <c r="AA58" s="10">
        <v>1</v>
      </c>
      <c r="AB58" s="10">
        <v>0</v>
      </c>
      <c r="AC58" s="9">
        <f t="shared" si="3"/>
        <v>2</v>
      </c>
      <c r="AD58" s="9">
        <v>0</v>
      </c>
      <c r="AE58" s="9">
        <v>0.6</v>
      </c>
      <c r="AF58" s="9">
        <v>1.4999999999999999E-2</v>
      </c>
      <c r="AG58" s="9">
        <v>6.5</v>
      </c>
      <c r="AH58" s="9">
        <v>0.25</v>
      </c>
      <c r="AI58" s="13">
        <v>60</v>
      </c>
      <c r="AJ58" s="9">
        <f t="shared" si="4"/>
        <v>0.7</v>
      </c>
      <c r="AK58" s="9">
        <v>0</v>
      </c>
      <c r="AL58" s="9">
        <v>0</v>
      </c>
      <c r="AM58" s="9">
        <v>0</v>
      </c>
      <c r="AN58" s="9">
        <v>0</v>
      </c>
      <c r="AO58" s="9">
        <f t="shared" si="28"/>
        <v>0</v>
      </c>
      <c r="AP58" s="9">
        <v>0</v>
      </c>
      <c r="AQ58" s="9">
        <f t="shared" si="6"/>
        <v>0.4</v>
      </c>
      <c r="AR58" s="9">
        <v>4.5</v>
      </c>
      <c r="AS58" s="9">
        <v>0</v>
      </c>
      <c r="AT58" s="9">
        <v>0</v>
      </c>
      <c r="AU58" s="9">
        <v>0</v>
      </c>
      <c r="AV58" s="9">
        <v>0</v>
      </c>
      <c r="AW58" s="12">
        <v>26</v>
      </c>
      <c r="AX58" s="9">
        <v>0.3</v>
      </c>
      <c r="AY58" s="9">
        <v>0</v>
      </c>
      <c r="AZ58" s="9">
        <f t="shared" ref="AZ58:AZ62" si="33">(AP58 - MIN($AP$2:$AP$964)) / (MAX($AP$2:$AP$964) - MIN($AP$2:$AP$964))</f>
        <v>0</v>
      </c>
      <c r="BA58" s="9">
        <v>0</v>
      </c>
      <c r="BB58" s="9">
        <v>0</v>
      </c>
      <c r="BC58" s="9">
        <v>0</v>
      </c>
      <c r="BD58" s="9">
        <v>0</v>
      </c>
      <c r="BE58" s="9">
        <v>6.5</v>
      </c>
      <c r="BF58" s="9">
        <f t="shared" si="8"/>
        <v>0.1</v>
      </c>
      <c r="BG58" s="9">
        <f t="shared" si="32"/>
        <v>2</v>
      </c>
      <c r="BH58" s="9">
        <v>6</v>
      </c>
      <c r="BI58" s="9">
        <f t="shared" si="10"/>
        <v>0</v>
      </c>
      <c r="BJ58" s="9">
        <v>7</v>
      </c>
      <c r="BK58" s="9">
        <v>0.71</v>
      </c>
      <c r="BL58" s="15">
        <v>7</v>
      </c>
      <c r="BM58" s="14">
        <v>0.33</v>
      </c>
      <c r="BN58" s="8">
        <v>0</v>
      </c>
      <c r="BO58" s="14">
        <v>0</v>
      </c>
      <c r="BP58" s="14">
        <f t="shared" si="11"/>
        <v>0.3</v>
      </c>
      <c r="BQ58" s="14">
        <v>0</v>
      </c>
      <c r="BR58" s="15">
        <v>0</v>
      </c>
      <c r="BS58" s="15">
        <f t="shared" si="29"/>
        <v>0.13700000000000001</v>
      </c>
      <c r="BT58" s="14">
        <v>0</v>
      </c>
      <c r="BU58" s="14">
        <v>0</v>
      </c>
      <c r="BV58" s="15">
        <v>44.85</v>
      </c>
      <c r="BW58" s="15">
        <v>5.3999999999999999E-2</v>
      </c>
      <c r="BX58" s="15">
        <f t="shared" si="13"/>
        <v>25.999999999999996</v>
      </c>
      <c r="BY58" s="14">
        <f t="shared" si="14"/>
        <v>0</v>
      </c>
      <c r="BZ58" s="14">
        <f t="shared" si="15"/>
        <v>0</v>
      </c>
      <c r="CA58" s="14">
        <f t="shared" si="16"/>
        <v>0</v>
      </c>
      <c r="CB58" s="14">
        <f t="shared" si="17"/>
        <v>25.999999999999996</v>
      </c>
      <c r="CC58" s="15">
        <f t="shared" si="18"/>
        <v>0.71399999999999997</v>
      </c>
      <c r="CD58" s="14">
        <f t="shared" si="19"/>
        <v>18.559999999999999</v>
      </c>
      <c r="CE58" s="14">
        <f t="shared" si="20"/>
        <v>0.9</v>
      </c>
      <c r="CF58" s="14">
        <f t="shared" si="21"/>
        <v>16.7</v>
      </c>
      <c r="CG58" s="14">
        <f t="shared" si="22"/>
        <v>170</v>
      </c>
    </row>
    <row r="59" spans="1:85" ht="13.2" x14ac:dyDescent="0.25">
      <c r="A59" s="8">
        <v>489889</v>
      </c>
      <c r="B59" s="9" t="s">
        <v>153</v>
      </c>
      <c r="C59" s="9" t="s">
        <v>86</v>
      </c>
      <c r="D59" s="9">
        <v>1</v>
      </c>
      <c r="E59" s="9">
        <v>0</v>
      </c>
      <c r="F59" s="9">
        <v>0</v>
      </c>
      <c r="G59" s="9">
        <v>0</v>
      </c>
      <c r="H59" s="10">
        <v>9</v>
      </c>
      <c r="I59" s="9">
        <v>8</v>
      </c>
      <c r="J59" s="11">
        <f t="shared" si="0"/>
        <v>0.2</v>
      </c>
      <c r="K59" s="10">
        <v>247</v>
      </c>
      <c r="L59" s="11">
        <v>0.1</v>
      </c>
      <c r="M59" s="11">
        <v>0</v>
      </c>
      <c r="N59" s="11" t="s">
        <v>90</v>
      </c>
      <c r="O59" s="11">
        <v>1</v>
      </c>
      <c r="P59" s="12" t="s">
        <v>101</v>
      </c>
      <c r="Q59" s="12">
        <v>1</v>
      </c>
      <c r="R59" s="9">
        <v>23</v>
      </c>
      <c r="S59" s="10">
        <v>66</v>
      </c>
      <c r="T59" s="10">
        <v>27.44</v>
      </c>
      <c r="U59" s="10">
        <f t="shared" si="1"/>
        <v>0.5</v>
      </c>
      <c r="V59" s="10">
        <v>147.02000000000001</v>
      </c>
      <c r="W59" s="10">
        <f t="shared" si="2"/>
        <v>0.6</v>
      </c>
      <c r="X59" s="10">
        <v>27</v>
      </c>
      <c r="Y59" s="10">
        <v>8</v>
      </c>
      <c r="Z59" s="10">
        <v>0</v>
      </c>
      <c r="AA59" s="10">
        <v>2</v>
      </c>
      <c r="AB59" s="10">
        <v>0</v>
      </c>
      <c r="AC59" s="9">
        <f t="shared" si="3"/>
        <v>2</v>
      </c>
      <c r="AD59" s="9">
        <v>0</v>
      </c>
      <c r="AE59" s="9">
        <v>0.6</v>
      </c>
      <c r="AF59" s="9">
        <v>1.4999999999999999E-2</v>
      </c>
      <c r="AG59" s="9">
        <v>6.5</v>
      </c>
      <c r="AH59" s="9">
        <v>0.125</v>
      </c>
      <c r="AI59" s="13">
        <v>45</v>
      </c>
      <c r="AJ59" s="9">
        <f t="shared" si="4"/>
        <v>0.5</v>
      </c>
      <c r="AK59" s="9">
        <v>0</v>
      </c>
      <c r="AL59" s="9">
        <v>0</v>
      </c>
      <c r="AM59" s="9">
        <v>0</v>
      </c>
      <c r="AN59" s="9">
        <v>0</v>
      </c>
      <c r="AO59" s="9">
        <f t="shared" si="28"/>
        <v>0</v>
      </c>
      <c r="AP59" s="9">
        <v>0</v>
      </c>
      <c r="AQ59" s="9">
        <f t="shared" si="6"/>
        <v>0.1</v>
      </c>
      <c r="AR59" s="9">
        <v>2.5</v>
      </c>
      <c r="AS59" s="9">
        <v>0</v>
      </c>
      <c r="AT59" s="9">
        <v>0</v>
      </c>
      <c r="AU59" s="9">
        <v>0</v>
      </c>
      <c r="AV59" s="9">
        <v>0</v>
      </c>
      <c r="AW59" s="12">
        <v>21</v>
      </c>
      <c r="AX59" s="9">
        <v>0.2</v>
      </c>
      <c r="AY59" s="9">
        <v>0</v>
      </c>
      <c r="AZ59" s="9">
        <f t="shared" si="33"/>
        <v>0</v>
      </c>
      <c r="BA59" s="9">
        <v>0</v>
      </c>
      <c r="BB59" s="9">
        <v>0</v>
      </c>
      <c r="BC59" s="9">
        <v>0</v>
      </c>
      <c r="BD59" s="9">
        <v>0</v>
      </c>
      <c r="BE59" s="9">
        <v>7</v>
      </c>
      <c r="BF59" s="9">
        <f t="shared" si="8"/>
        <v>0.3</v>
      </c>
      <c r="BG59" s="9">
        <f t="shared" si="32"/>
        <v>2</v>
      </c>
      <c r="BH59" s="9">
        <v>6</v>
      </c>
      <c r="BI59" s="9">
        <f t="shared" si="10"/>
        <v>0</v>
      </c>
      <c r="BJ59" s="9">
        <v>6</v>
      </c>
      <c r="BK59" s="9">
        <v>0.56999999999999995</v>
      </c>
      <c r="BL59" s="15">
        <v>6</v>
      </c>
      <c r="BM59" s="14">
        <v>0</v>
      </c>
      <c r="BN59" s="8">
        <v>0</v>
      </c>
      <c r="BO59" s="14">
        <v>0</v>
      </c>
      <c r="BP59" s="14">
        <f t="shared" si="11"/>
        <v>0.4</v>
      </c>
      <c r="BQ59" s="14">
        <v>0</v>
      </c>
      <c r="BR59" s="15">
        <v>0</v>
      </c>
      <c r="BS59" s="15">
        <f t="shared" si="29"/>
        <v>0.129</v>
      </c>
      <c r="BT59" s="14">
        <v>0</v>
      </c>
      <c r="BU59" s="14">
        <v>0</v>
      </c>
      <c r="BV59" s="15">
        <v>43.25</v>
      </c>
      <c r="BW59" s="15">
        <v>5.1999999999999998E-2</v>
      </c>
      <c r="BX59" s="15">
        <f t="shared" si="13"/>
        <v>32.500000000000007</v>
      </c>
      <c r="BY59" s="14">
        <f t="shared" si="14"/>
        <v>0</v>
      </c>
      <c r="BZ59" s="14">
        <f t="shared" si="15"/>
        <v>0</v>
      </c>
      <c r="CA59" s="14">
        <f t="shared" si="16"/>
        <v>0</v>
      </c>
      <c r="CB59" s="14">
        <f t="shared" si="17"/>
        <v>32.500000000000007</v>
      </c>
      <c r="CC59" s="15">
        <f t="shared" si="18"/>
        <v>0.71299999999999997</v>
      </c>
      <c r="CD59" s="14">
        <f t="shared" si="19"/>
        <v>23.17</v>
      </c>
      <c r="CE59" s="14">
        <f t="shared" si="20"/>
        <v>0.97499999999999998</v>
      </c>
      <c r="CF59" s="14">
        <f t="shared" si="21"/>
        <v>22.59</v>
      </c>
      <c r="CG59" s="14">
        <f t="shared" si="22"/>
        <v>143</v>
      </c>
    </row>
    <row r="60" spans="1:85" ht="13.2" x14ac:dyDescent="0.25">
      <c r="A60" s="8">
        <v>8917</v>
      </c>
      <c r="B60" s="9" t="s">
        <v>154</v>
      </c>
      <c r="C60" s="9" t="s">
        <v>86</v>
      </c>
      <c r="D60" s="9">
        <v>1</v>
      </c>
      <c r="E60" s="9">
        <v>0</v>
      </c>
      <c r="F60" s="9">
        <v>0</v>
      </c>
      <c r="G60" s="9">
        <v>0</v>
      </c>
      <c r="H60" s="10">
        <v>16</v>
      </c>
      <c r="I60" s="9">
        <v>9</v>
      </c>
      <c r="J60" s="11">
        <f t="shared" si="0"/>
        <v>0.3</v>
      </c>
      <c r="K60" s="10">
        <v>350</v>
      </c>
      <c r="L60" s="11">
        <v>0.1</v>
      </c>
      <c r="M60" s="11">
        <v>0</v>
      </c>
      <c r="N60" s="11" t="s">
        <v>90</v>
      </c>
      <c r="O60" s="11">
        <v>2</v>
      </c>
      <c r="P60" s="12" t="s">
        <v>88</v>
      </c>
      <c r="Q60" s="12">
        <v>0</v>
      </c>
      <c r="R60" s="9">
        <v>22</v>
      </c>
      <c r="S60" s="10">
        <v>64</v>
      </c>
      <c r="T60" s="10">
        <v>23.33</v>
      </c>
      <c r="U60" s="10">
        <f t="shared" si="1"/>
        <v>0.4</v>
      </c>
      <c r="V60" s="10">
        <v>140</v>
      </c>
      <c r="W60" s="10">
        <f t="shared" si="2"/>
        <v>0.6</v>
      </c>
      <c r="X60" s="10">
        <v>32</v>
      </c>
      <c r="Y60" s="10">
        <v>18</v>
      </c>
      <c r="Z60" s="10">
        <v>0</v>
      </c>
      <c r="AA60" s="10">
        <v>2</v>
      </c>
      <c r="AB60" s="10">
        <v>0</v>
      </c>
      <c r="AC60" s="9">
        <f t="shared" si="3"/>
        <v>2</v>
      </c>
      <c r="AD60" s="9">
        <v>0</v>
      </c>
      <c r="AE60" s="9">
        <v>0.6</v>
      </c>
      <c r="AF60" s="9">
        <v>1.4999999999999999E-2</v>
      </c>
      <c r="AG60" s="9">
        <v>7</v>
      </c>
      <c r="AH60" s="9">
        <v>8.9999999999999993E-3</v>
      </c>
      <c r="AI60" s="13">
        <v>45</v>
      </c>
      <c r="AJ60" s="9">
        <f t="shared" si="4"/>
        <v>0.5</v>
      </c>
      <c r="AK60" s="9">
        <v>0</v>
      </c>
      <c r="AL60" s="9">
        <v>0</v>
      </c>
      <c r="AM60" s="9">
        <v>0</v>
      </c>
      <c r="AN60" s="9">
        <v>0</v>
      </c>
      <c r="AO60" s="9">
        <f t="shared" si="28"/>
        <v>0</v>
      </c>
      <c r="AP60" s="9">
        <v>0</v>
      </c>
      <c r="AQ60" s="9">
        <f t="shared" si="6"/>
        <v>0</v>
      </c>
      <c r="AR60" s="9">
        <v>2</v>
      </c>
      <c r="AS60" s="9">
        <v>0</v>
      </c>
      <c r="AT60" s="9">
        <v>0</v>
      </c>
      <c r="AU60" s="9">
        <v>0</v>
      </c>
      <c r="AV60" s="9">
        <v>0</v>
      </c>
      <c r="AW60" s="12">
        <v>19</v>
      </c>
      <c r="AX60" s="9">
        <v>0.2</v>
      </c>
      <c r="AY60" s="9">
        <v>0</v>
      </c>
      <c r="AZ60" s="9">
        <f t="shared" si="33"/>
        <v>0</v>
      </c>
      <c r="BA60" s="9">
        <v>0</v>
      </c>
      <c r="BB60" s="9">
        <v>0</v>
      </c>
      <c r="BC60" s="9">
        <v>0</v>
      </c>
      <c r="BD60" s="9">
        <v>0</v>
      </c>
      <c r="BE60" s="9">
        <v>6.5</v>
      </c>
      <c r="BF60" s="9">
        <f t="shared" si="8"/>
        <v>0.1</v>
      </c>
      <c r="BG60" s="9">
        <f t="shared" si="32"/>
        <v>2</v>
      </c>
      <c r="BH60" s="9">
        <v>6</v>
      </c>
      <c r="BI60" s="9">
        <f t="shared" si="10"/>
        <v>0</v>
      </c>
      <c r="BJ60" s="9">
        <v>7</v>
      </c>
      <c r="BK60" s="9">
        <v>0.71</v>
      </c>
      <c r="BL60" s="15">
        <v>6</v>
      </c>
      <c r="BM60" s="14">
        <v>0</v>
      </c>
      <c r="BN60" s="8">
        <v>0</v>
      </c>
      <c r="BO60" s="14">
        <v>0</v>
      </c>
      <c r="BP60" s="14">
        <f t="shared" si="11"/>
        <v>0.3</v>
      </c>
      <c r="BQ60" s="14">
        <v>0</v>
      </c>
      <c r="BR60" s="15">
        <v>0</v>
      </c>
      <c r="BS60" s="15">
        <f t="shared" si="29"/>
        <v>0.11300000000000002</v>
      </c>
      <c r="BT60" s="14">
        <v>0</v>
      </c>
      <c r="BU60" s="14">
        <v>0</v>
      </c>
      <c r="BV60" s="15">
        <v>48.35</v>
      </c>
      <c r="BW60" s="15">
        <v>5.8000000000000003E-2</v>
      </c>
      <c r="BX60" s="15">
        <f t="shared" si="13"/>
        <v>26.5</v>
      </c>
      <c r="BY60" s="14">
        <f t="shared" si="14"/>
        <v>0</v>
      </c>
      <c r="BZ60" s="14">
        <f t="shared" si="15"/>
        <v>0</v>
      </c>
      <c r="CA60" s="14">
        <f t="shared" si="16"/>
        <v>0</v>
      </c>
      <c r="CB60" s="14">
        <f t="shared" si="17"/>
        <v>26.5</v>
      </c>
      <c r="CC60" s="15">
        <f t="shared" si="18"/>
        <v>0.71099999999999997</v>
      </c>
      <c r="CD60" s="14">
        <f t="shared" si="19"/>
        <v>18.84</v>
      </c>
      <c r="CE60" s="14">
        <f t="shared" si="20"/>
        <v>1</v>
      </c>
      <c r="CF60" s="14">
        <f t="shared" si="21"/>
        <v>18.84</v>
      </c>
      <c r="CG60" s="14">
        <f t="shared" si="22"/>
        <v>162</v>
      </c>
    </row>
    <row r="61" spans="1:85" ht="13.2" x14ac:dyDescent="0.25">
      <c r="A61" s="8">
        <v>670025</v>
      </c>
      <c r="B61" s="9" t="s">
        <v>155</v>
      </c>
      <c r="C61" s="9" t="s">
        <v>86</v>
      </c>
      <c r="D61" s="9">
        <v>1</v>
      </c>
      <c r="E61" s="9">
        <v>0</v>
      </c>
      <c r="F61" s="9">
        <v>0</v>
      </c>
      <c r="G61" s="9">
        <v>0</v>
      </c>
      <c r="H61" s="10">
        <v>20</v>
      </c>
      <c r="I61" s="9">
        <v>13</v>
      </c>
      <c r="J61" s="11">
        <f t="shared" si="0"/>
        <v>0.3</v>
      </c>
      <c r="K61" s="10">
        <v>351</v>
      </c>
      <c r="L61" s="11">
        <v>0.1</v>
      </c>
      <c r="M61" s="11">
        <v>0</v>
      </c>
      <c r="N61" s="11" t="s">
        <v>96</v>
      </c>
      <c r="O61" s="11">
        <v>2</v>
      </c>
      <c r="P61" s="12" t="s">
        <v>88</v>
      </c>
      <c r="Q61" s="12">
        <v>0</v>
      </c>
      <c r="R61" s="9">
        <v>22</v>
      </c>
      <c r="S61" s="10">
        <v>37</v>
      </c>
      <c r="T61" s="10">
        <v>25.07</v>
      </c>
      <c r="U61" s="10">
        <f t="shared" si="1"/>
        <v>0.5</v>
      </c>
      <c r="V61" s="10">
        <v>148.72999999999999</v>
      </c>
      <c r="W61" s="10">
        <f t="shared" si="2"/>
        <v>0.6</v>
      </c>
      <c r="X61" s="10">
        <v>25</v>
      </c>
      <c r="Y61" s="10">
        <v>22</v>
      </c>
      <c r="Z61" s="10">
        <v>0</v>
      </c>
      <c r="AA61" s="10">
        <v>0</v>
      </c>
      <c r="AB61" s="10">
        <v>0</v>
      </c>
      <c r="AC61" s="9">
        <f t="shared" si="3"/>
        <v>2</v>
      </c>
      <c r="AD61" s="9">
        <v>0</v>
      </c>
      <c r="AE61" s="9">
        <v>0.6</v>
      </c>
      <c r="AF61" s="9">
        <v>1.4999999999999999E-2</v>
      </c>
      <c r="AG61" s="9">
        <v>6.5</v>
      </c>
      <c r="AH61" s="9">
        <v>1.2999999999999999E-2</v>
      </c>
      <c r="AI61" s="13">
        <v>50</v>
      </c>
      <c r="AJ61" s="9">
        <f t="shared" si="4"/>
        <v>0.6</v>
      </c>
      <c r="AK61" s="9">
        <v>0</v>
      </c>
      <c r="AL61" s="9">
        <v>0</v>
      </c>
      <c r="AM61" s="9">
        <v>0</v>
      </c>
      <c r="AN61" s="9">
        <v>0</v>
      </c>
      <c r="AO61" s="9">
        <f t="shared" si="28"/>
        <v>0</v>
      </c>
      <c r="AP61" s="9">
        <v>0</v>
      </c>
      <c r="AQ61" s="9">
        <f t="shared" si="6"/>
        <v>0.1</v>
      </c>
      <c r="AR61" s="9">
        <v>2.5</v>
      </c>
      <c r="AS61" s="9">
        <v>0</v>
      </c>
      <c r="AT61" s="9">
        <v>0</v>
      </c>
      <c r="AU61" s="9">
        <v>0</v>
      </c>
      <c r="AV61" s="9">
        <v>0</v>
      </c>
      <c r="AW61" s="12">
        <v>22</v>
      </c>
      <c r="AX61" s="9">
        <v>0.2</v>
      </c>
      <c r="AY61" s="9">
        <v>0</v>
      </c>
      <c r="AZ61" s="9">
        <f t="shared" si="33"/>
        <v>0</v>
      </c>
      <c r="BA61" s="9">
        <v>0</v>
      </c>
      <c r="BB61" s="9">
        <v>0</v>
      </c>
      <c r="BC61" s="9">
        <v>0</v>
      </c>
      <c r="BD61" s="9">
        <v>0</v>
      </c>
      <c r="BE61" s="9">
        <v>7</v>
      </c>
      <c r="BF61" s="9">
        <f t="shared" si="8"/>
        <v>0.3</v>
      </c>
      <c r="BG61" s="9">
        <f t="shared" si="32"/>
        <v>2</v>
      </c>
      <c r="BH61" s="9">
        <v>6</v>
      </c>
      <c r="BI61" s="9">
        <f t="shared" si="10"/>
        <v>0</v>
      </c>
      <c r="BJ61" s="9">
        <v>6</v>
      </c>
      <c r="BK61" s="9">
        <v>0.56999999999999995</v>
      </c>
      <c r="BL61" s="15">
        <v>6</v>
      </c>
      <c r="BM61" s="14">
        <v>0</v>
      </c>
      <c r="BN61" s="8">
        <v>0</v>
      </c>
      <c r="BO61" s="14">
        <v>0</v>
      </c>
      <c r="BP61" s="14">
        <f t="shared" si="11"/>
        <v>0.4</v>
      </c>
      <c r="BQ61" s="14">
        <v>0</v>
      </c>
      <c r="BR61" s="15">
        <v>0</v>
      </c>
      <c r="BS61" s="15">
        <f t="shared" si="29"/>
        <v>0.14099999999999999</v>
      </c>
      <c r="BT61" s="14">
        <v>0</v>
      </c>
      <c r="BU61" s="14">
        <v>0</v>
      </c>
      <c r="BV61" s="15">
        <v>43.25</v>
      </c>
      <c r="BW61" s="15">
        <v>5.1999999999999998E-2</v>
      </c>
      <c r="BX61" s="15">
        <f t="shared" si="13"/>
        <v>32.500000000000007</v>
      </c>
      <c r="BY61" s="14">
        <f t="shared" si="14"/>
        <v>0</v>
      </c>
      <c r="BZ61" s="14">
        <f t="shared" si="15"/>
        <v>0</v>
      </c>
      <c r="CA61" s="14">
        <f t="shared" si="16"/>
        <v>0</v>
      </c>
      <c r="CB61" s="14">
        <f t="shared" si="17"/>
        <v>32.500000000000007</v>
      </c>
      <c r="CC61" s="15">
        <f t="shared" si="18"/>
        <v>0.71399999999999997</v>
      </c>
      <c r="CD61" s="14">
        <f t="shared" si="19"/>
        <v>23.21</v>
      </c>
      <c r="CE61" s="14">
        <f t="shared" si="20"/>
        <v>0.97499999999999998</v>
      </c>
      <c r="CF61" s="14">
        <f t="shared" si="21"/>
        <v>22.63</v>
      </c>
      <c r="CG61" s="14">
        <f t="shared" si="22"/>
        <v>142</v>
      </c>
    </row>
    <row r="62" spans="1:85" ht="13.2" x14ac:dyDescent="0.25">
      <c r="A62" s="8">
        <v>477021</v>
      </c>
      <c r="B62" s="9" t="s">
        <v>156</v>
      </c>
      <c r="C62" s="9" t="s">
        <v>86</v>
      </c>
      <c r="D62" s="9">
        <v>1</v>
      </c>
      <c r="E62" s="9">
        <v>0</v>
      </c>
      <c r="F62" s="9">
        <v>0</v>
      </c>
      <c r="G62" s="9">
        <v>0</v>
      </c>
      <c r="H62" s="10">
        <v>21</v>
      </c>
      <c r="I62" s="9">
        <v>15</v>
      </c>
      <c r="J62" s="11">
        <f t="shared" si="0"/>
        <v>0.2</v>
      </c>
      <c r="K62" s="10">
        <v>268</v>
      </c>
      <c r="L62" s="11">
        <v>0.1</v>
      </c>
      <c r="M62" s="11">
        <v>0</v>
      </c>
      <c r="N62" s="11" t="s">
        <v>90</v>
      </c>
      <c r="O62" s="11">
        <v>2</v>
      </c>
      <c r="P62" s="12" t="s">
        <v>88</v>
      </c>
      <c r="Q62" s="12">
        <v>0</v>
      </c>
      <c r="R62" s="9">
        <v>24</v>
      </c>
      <c r="S62" s="10">
        <v>54</v>
      </c>
      <c r="T62" s="10">
        <v>15.76</v>
      </c>
      <c r="U62" s="10">
        <f t="shared" si="1"/>
        <v>0.3</v>
      </c>
      <c r="V62" s="10">
        <v>153.13999999999999</v>
      </c>
      <c r="W62" s="10">
        <f t="shared" si="2"/>
        <v>0.6</v>
      </c>
      <c r="X62" s="10">
        <v>18</v>
      </c>
      <c r="Y62" s="10">
        <v>17</v>
      </c>
      <c r="Z62" s="10">
        <v>0</v>
      </c>
      <c r="AA62" s="10">
        <v>1</v>
      </c>
      <c r="AB62" s="10">
        <v>0</v>
      </c>
      <c r="AC62" s="9">
        <f t="shared" si="3"/>
        <v>2</v>
      </c>
      <c r="AD62" s="9">
        <v>0</v>
      </c>
      <c r="AE62" s="9">
        <v>0.6</v>
      </c>
      <c r="AF62" s="9">
        <v>1.4999999999999999E-2</v>
      </c>
      <c r="AG62" s="9">
        <v>7</v>
      </c>
      <c r="AH62" s="9">
        <v>8.0000000000000002E-3</v>
      </c>
      <c r="AI62" s="13">
        <v>50</v>
      </c>
      <c r="AJ62" s="9">
        <f t="shared" si="4"/>
        <v>0.6</v>
      </c>
      <c r="AK62" s="9">
        <v>0</v>
      </c>
      <c r="AL62" s="9">
        <v>0</v>
      </c>
      <c r="AM62" s="9">
        <v>0</v>
      </c>
      <c r="AN62" s="9">
        <v>0</v>
      </c>
      <c r="AO62" s="9">
        <f t="shared" si="28"/>
        <v>0</v>
      </c>
      <c r="AP62" s="9">
        <v>0</v>
      </c>
      <c r="AQ62" s="9">
        <f t="shared" si="6"/>
        <v>0.1</v>
      </c>
      <c r="AR62" s="9">
        <v>2.5</v>
      </c>
      <c r="AS62" s="9">
        <v>0</v>
      </c>
      <c r="AT62" s="9">
        <v>0</v>
      </c>
      <c r="AU62" s="9">
        <v>0</v>
      </c>
      <c r="AV62" s="9">
        <v>0</v>
      </c>
      <c r="AW62" s="12">
        <v>24</v>
      </c>
      <c r="AX62" s="9">
        <v>0.2</v>
      </c>
      <c r="AY62" s="9">
        <v>0</v>
      </c>
      <c r="AZ62" s="9">
        <f t="shared" si="33"/>
        <v>0</v>
      </c>
      <c r="BA62" s="9">
        <v>0</v>
      </c>
      <c r="BB62" s="9">
        <v>0</v>
      </c>
      <c r="BC62" s="9">
        <v>0</v>
      </c>
      <c r="BD62" s="9">
        <v>0</v>
      </c>
      <c r="BE62" s="9">
        <v>6.5</v>
      </c>
      <c r="BF62" s="9">
        <f t="shared" si="8"/>
        <v>0.1</v>
      </c>
      <c r="BG62" s="9">
        <f t="shared" si="32"/>
        <v>2</v>
      </c>
      <c r="BH62" s="9">
        <v>7</v>
      </c>
      <c r="BI62" s="9">
        <f t="shared" si="10"/>
        <v>0.3</v>
      </c>
      <c r="BJ62" s="9">
        <v>9</v>
      </c>
      <c r="BK62" s="9">
        <v>1</v>
      </c>
      <c r="BL62" s="15">
        <v>6</v>
      </c>
      <c r="BM62" s="14">
        <v>0</v>
      </c>
      <c r="BN62" s="8">
        <v>0</v>
      </c>
      <c r="BO62" s="14">
        <v>0</v>
      </c>
      <c r="BP62" s="14">
        <f t="shared" si="11"/>
        <v>0.3</v>
      </c>
      <c r="BQ62" s="14">
        <v>0</v>
      </c>
      <c r="BR62" s="15">
        <v>0</v>
      </c>
      <c r="BS62" s="15">
        <f t="shared" si="29"/>
        <v>0.125</v>
      </c>
      <c r="BT62" s="14">
        <v>0</v>
      </c>
      <c r="BU62" s="14">
        <v>0</v>
      </c>
      <c r="BV62" s="15">
        <v>65.8</v>
      </c>
      <c r="BW62" s="15">
        <v>7.6999999999999999E-2</v>
      </c>
      <c r="BX62" s="15">
        <f t="shared" si="13"/>
        <v>26.5</v>
      </c>
      <c r="BY62" s="14">
        <f t="shared" si="14"/>
        <v>0</v>
      </c>
      <c r="BZ62" s="14">
        <f t="shared" si="15"/>
        <v>0</v>
      </c>
      <c r="CA62" s="14">
        <f t="shared" si="16"/>
        <v>0</v>
      </c>
      <c r="CB62" s="14">
        <f t="shared" si="17"/>
        <v>26.5</v>
      </c>
      <c r="CC62" s="15">
        <f t="shared" si="18"/>
        <v>0.71299999999999997</v>
      </c>
      <c r="CD62" s="14">
        <f t="shared" si="19"/>
        <v>18.89</v>
      </c>
      <c r="CE62" s="14">
        <f t="shared" si="20"/>
        <v>0.97499999999999998</v>
      </c>
      <c r="CF62" s="14">
        <f t="shared" si="21"/>
        <v>18.420000000000002</v>
      </c>
      <c r="CG62" s="14">
        <f t="shared" si="22"/>
        <v>164</v>
      </c>
    </row>
    <row r="63" spans="1:85" ht="13.2" x14ac:dyDescent="0.25">
      <c r="A63" s="8">
        <v>784869</v>
      </c>
      <c r="B63" s="9" t="s">
        <v>157</v>
      </c>
      <c r="C63" s="9" t="s">
        <v>86</v>
      </c>
      <c r="D63" s="9">
        <v>1</v>
      </c>
      <c r="E63" s="9">
        <v>0</v>
      </c>
      <c r="F63" s="9">
        <v>1</v>
      </c>
      <c r="G63" s="9">
        <v>0</v>
      </c>
      <c r="H63" s="10">
        <v>11</v>
      </c>
      <c r="I63" s="9">
        <v>7</v>
      </c>
      <c r="J63" s="11">
        <f t="shared" si="0"/>
        <v>0.2</v>
      </c>
      <c r="K63" s="10">
        <v>303</v>
      </c>
      <c r="L63" s="11">
        <v>0.1</v>
      </c>
      <c r="M63" s="11">
        <v>0</v>
      </c>
      <c r="N63" s="11" t="s">
        <v>90</v>
      </c>
      <c r="O63" s="11">
        <v>3</v>
      </c>
      <c r="P63" s="12" t="s">
        <v>88</v>
      </c>
      <c r="Q63" s="12">
        <v>0</v>
      </c>
      <c r="R63" s="9">
        <v>22</v>
      </c>
      <c r="S63" s="10">
        <v>76</v>
      </c>
      <c r="T63" s="10">
        <v>33.67</v>
      </c>
      <c r="U63" s="10">
        <f t="shared" si="1"/>
        <v>0.6</v>
      </c>
      <c r="V63" s="10">
        <v>142.91999999999999</v>
      </c>
      <c r="W63" s="10">
        <f t="shared" si="2"/>
        <v>0.6</v>
      </c>
      <c r="X63" s="10">
        <v>15</v>
      </c>
      <c r="Y63" s="10">
        <v>21</v>
      </c>
      <c r="Z63" s="10">
        <v>0</v>
      </c>
      <c r="AA63" s="10">
        <v>2</v>
      </c>
      <c r="AB63" s="10">
        <v>0</v>
      </c>
      <c r="AC63" s="9">
        <f t="shared" si="3"/>
        <v>2</v>
      </c>
      <c r="AD63" s="9">
        <v>0</v>
      </c>
      <c r="AE63" s="9">
        <v>0.6</v>
      </c>
      <c r="AF63" s="9">
        <v>1.4999999999999999E-2</v>
      </c>
      <c r="AG63" s="9">
        <v>7</v>
      </c>
      <c r="AH63" s="9">
        <v>1.4999999999999999E-2</v>
      </c>
      <c r="AI63" s="13">
        <v>45</v>
      </c>
      <c r="AJ63" s="9">
        <f t="shared" si="4"/>
        <v>0.5</v>
      </c>
      <c r="AK63" s="9">
        <v>3</v>
      </c>
      <c r="AL63" s="9">
        <v>2</v>
      </c>
      <c r="AM63" s="9">
        <v>11.39</v>
      </c>
      <c r="AN63" s="9">
        <v>0.6</v>
      </c>
      <c r="AO63" s="9">
        <v>0.3</v>
      </c>
      <c r="AP63" s="9">
        <v>2.8</v>
      </c>
      <c r="AQ63" s="9">
        <v>0.1</v>
      </c>
      <c r="AR63" s="9">
        <v>2</v>
      </c>
      <c r="AS63" s="9">
        <v>0.2</v>
      </c>
      <c r="AT63" s="9">
        <v>0.13</v>
      </c>
      <c r="AU63" s="9">
        <v>15</v>
      </c>
      <c r="AV63" s="9">
        <v>0</v>
      </c>
      <c r="AW63" s="12">
        <v>55</v>
      </c>
      <c r="AX63" s="9">
        <v>0.6</v>
      </c>
      <c r="AY63" s="9">
        <v>0</v>
      </c>
      <c r="AZ63" s="9">
        <v>0</v>
      </c>
      <c r="BA63" s="9">
        <v>0</v>
      </c>
      <c r="BB63" s="9">
        <v>0</v>
      </c>
      <c r="BC63" s="9">
        <v>45</v>
      </c>
      <c r="BD63" s="9">
        <v>70</v>
      </c>
      <c r="BE63" s="9">
        <v>7</v>
      </c>
      <c r="BF63" s="9">
        <f t="shared" si="8"/>
        <v>0.3</v>
      </c>
      <c r="BG63" s="9">
        <f t="shared" si="32"/>
        <v>2</v>
      </c>
      <c r="BH63" s="9">
        <v>7</v>
      </c>
      <c r="BI63" s="9">
        <f t="shared" si="10"/>
        <v>0.3</v>
      </c>
      <c r="BJ63" s="9">
        <v>5</v>
      </c>
      <c r="BK63" s="9">
        <v>0.43</v>
      </c>
      <c r="BL63" s="15">
        <v>7</v>
      </c>
      <c r="BM63" s="14">
        <v>0.33</v>
      </c>
      <c r="BN63" s="8">
        <v>1.1000000000000001</v>
      </c>
      <c r="BO63" s="14">
        <v>0</v>
      </c>
      <c r="BP63" s="14">
        <f t="shared" si="11"/>
        <v>0.4</v>
      </c>
      <c r="BQ63" s="14">
        <v>0</v>
      </c>
      <c r="BR63" s="15">
        <v>0</v>
      </c>
      <c r="BS63" s="15">
        <f t="shared" si="29"/>
        <v>0.129</v>
      </c>
      <c r="BT63" s="14">
        <v>0</v>
      </c>
      <c r="BU63" s="14">
        <v>0</v>
      </c>
      <c r="BV63" s="15">
        <v>41.55</v>
      </c>
      <c r="BW63" s="15">
        <v>0.05</v>
      </c>
      <c r="BX63" s="15">
        <f t="shared" si="13"/>
        <v>36.5</v>
      </c>
      <c r="BY63" s="14">
        <f t="shared" si="14"/>
        <v>0</v>
      </c>
      <c r="BZ63" s="14">
        <f t="shared" si="15"/>
        <v>13.417</v>
      </c>
      <c r="CA63" s="14">
        <f t="shared" si="16"/>
        <v>0</v>
      </c>
      <c r="CB63" s="14">
        <f t="shared" si="17"/>
        <v>49.917000000000002</v>
      </c>
      <c r="CC63" s="15">
        <f t="shared" si="18"/>
        <v>0.71299999999999997</v>
      </c>
      <c r="CD63" s="14">
        <f t="shared" si="19"/>
        <v>35.590000000000003</v>
      </c>
      <c r="CE63" s="14">
        <f t="shared" si="20"/>
        <v>0.96</v>
      </c>
      <c r="CF63" s="14">
        <f t="shared" si="21"/>
        <v>34.17</v>
      </c>
      <c r="CG63" s="14">
        <f t="shared" si="22"/>
        <v>64</v>
      </c>
    </row>
    <row r="64" spans="1:85" ht="13.2" x14ac:dyDescent="0.25">
      <c r="A64" s="8">
        <v>1081695</v>
      </c>
      <c r="B64" s="9" t="s">
        <v>158</v>
      </c>
      <c r="C64" s="9" t="s">
        <v>86</v>
      </c>
      <c r="D64" s="9">
        <v>1</v>
      </c>
      <c r="E64" s="9">
        <v>0</v>
      </c>
      <c r="F64" s="9">
        <v>0</v>
      </c>
      <c r="G64" s="9">
        <v>0</v>
      </c>
      <c r="H64" s="10">
        <v>22</v>
      </c>
      <c r="I64" s="9">
        <v>7</v>
      </c>
      <c r="J64" s="11">
        <f t="shared" si="0"/>
        <v>0.3</v>
      </c>
      <c r="K64" s="10">
        <v>347</v>
      </c>
      <c r="L64" s="11">
        <v>0.1</v>
      </c>
      <c r="M64" s="11">
        <v>0</v>
      </c>
      <c r="N64" s="11" t="s">
        <v>96</v>
      </c>
      <c r="O64" s="11">
        <v>2</v>
      </c>
      <c r="P64" s="12" t="s">
        <v>137</v>
      </c>
      <c r="Q64" s="12">
        <v>1</v>
      </c>
      <c r="R64" s="9">
        <v>23</v>
      </c>
      <c r="S64" s="10">
        <v>56</v>
      </c>
      <c r="T64" s="10">
        <v>23.13</v>
      </c>
      <c r="U64" s="10">
        <f t="shared" si="1"/>
        <v>0.4</v>
      </c>
      <c r="V64" s="10">
        <v>151.53</v>
      </c>
      <c r="W64" s="10">
        <f t="shared" si="2"/>
        <v>0.6</v>
      </c>
      <c r="X64" s="10">
        <v>29</v>
      </c>
      <c r="Y64" s="10">
        <v>16</v>
      </c>
      <c r="Z64" s="10">
        <v>0</v>
      </c>
      <c r="AA64" s="10">
        <v>2</v>
      </c>
      <c r="AB64" s="10">
        <v>0</v>
      </c>
      <c r="AC64" s="9">
        <f t="shared" si="3"/>
        <v>2</v>
      </c>
      <c r="AD64" s="9">
        <v>0</v>
      </c>
      <c r="AE64" s="9">
        <v>0.6</v>
      </c>
      <c r="AF64" s="9">
        <v>1.4999999999999999E-2</v>
      </c>
      <c r="AG64" s="9">
        <v>6.5</v>
      </c>
      <c r="AH64" s="9">
        <v>1.4E-2</v>
      </c>
      <c r="AI64" s="13">
        <v>45</v>
      </c>
      <c r="AJ64" s="9">
        <f t="shared" si="4"/>
        <v>0.5</v>
      </c>
      <c r="AK64" s="9">
        <v>0</v>
      </c>
      <c r="AL64" s="9">
        <v>0</v>
      </c>
      <c r="AM64" s="9">
        <v>0</v>
      </c>
      <c r="AN64" s="9">
        <v>0</v>
      </c>
      <c r="AO64" s="9">
        <f t="shared" ref="AO64:AO66" si="34">ROUND((AP64 - MIN($AP$2:$AP2050)) / (MAX($AP$2:$AP2050) - MIN($AP$2:$AP2050)), 1)</f>
        <v>0</v>
      </c>
      <c r="AP64" s="9">
        <v>0</v>
      </c>
      <c r="AQ64" s="9">
        <f t="shared" ref="AQ64:AQ131" si="35">ROUND((AR64 - MIN($AR$2:$AR2050)) / (MAX($AR$2:$AR2050) - MIN($AR$2:$AR2050)), 1)</f>
        <v>0</v>
      </c>
      <c r="AR64" s="9">
        <v>2</v>
      </c>
      <c r="AS64" s="9">
        <v>0</v>
      </c>
      <c r="AT64" s="9">
        <v>0</v>
      </c>
      <c r="AU64" s="9">
        <v>0</v>
      </c>
      <c r="AV64" s="9">
        <v>0</v>
      </c>
      <c r="AW64" s="12">
        <v>25</v>
      </c>
      <c r="AX64" s="9">
        <v>0.3</v>
      </c>
      <c r="AY64" s="9">
        <v>0</v>
      </c>
      <c r="AZ64" s="9">
        <f t="shared" ref="AZ64:AZ66" si="36">(AP64 - MIN($AP$2:$AP$964)) / (MAX($AP$2:$AP$964) - MIN($AP$2:$AP$964))</f>
        <v>0</v>
      </c>
      <c r="BA64" s="9">
        <v>0</v>
      </c>
      <c r="BB64" s="9">
        <v>0</v>
      </c>
      <c r="BC64" s="9">
        <v>0</v>
      </c>
      <c r="BD64" s="9">
        <v>0</v>
      </c>
      <c r="BE64" s="9">
        <v>7.5</v>
      </c>
      <c r="BF64" s="9">
        <f t="shared" si="8"/>
        <v>0.4</v>
      </c>
      <c r="BG64" s="9">
        <f t="shared" si="32"/>
        <v>2</v>
      </c>
      <c r="BH64" s="9">
        <v>6</v>
      </c>
      <c r="BI64" s="9">
        <f t="shared" si="10"/>
        <v>0</v>
      </c>
      <c r="BJ64" s="9">
        <v>6</v>
      </c>
      <c r="BK64" s="9">
        <v>0.56999999999999995</v>
      </c>
      <c r="BL64" s="15">
        <v>6</v>
      </c>
      <c r="BM64" s="14">
        <v>0</v>
      </c>
      <c r="BN64" s="8">
        <v>0</v>
      </c>
      <c r="BO64" s="14">
        <v>0</v>
      </c>
      <c r="BP64" s="14">
        <f t="shared" si="11"/>
        <v>0.4</v>
      </c>
      <c r="BQ64" s="14">
        <v>0</v>
      </c>
      <c r="BR64" s="15">
        <v>0</v>
      </c>
      <c r="BS64" s="15">
        <f t="shared" si="29"/>
        <v>0.13700000000000001</v>
      </c>
      <c r="BT64" s="14">
        <v>0</v>
      </c>
      <c r="BU64" s="14">
        <v>0</v>
      </c>
      <c r="BV64" s="15">
        <v>45.55</v>
      </c>
      <c r="BW64" s="15">
        <v>5.5E-2</v>
      </c>
      <c r="BX64" s="15">
        <f t="shared" si="13"/>
        <v>34.500000000000007</v>
      </c>
      <c r="BY64" s="14">
        <f t="shared" si="14"/>
        <v>0</v>
      </c>
      <c r="BZ64" s="14">
        <f t="shared" si="15"/>
        <v>0</v>
      </c>
      <c r="CA64" s="14">
        <f t="shared" si="16"/>
        <v>0</v>
      </c>
      <c r="CB64" s="14">
        <f t="shared" si="17"/>
        <v>34.500000000000007</v>
      </c>
      <c r="CC64" s="15">
        <f t="shared" si="18"/>
        <v>0.71399999999999997</v>
      </c>
      <c r="CD64" s="14">
        <f t="shared" si="19"/>
        <v>24.63</v>
      </c>
      <c r="CE64" s="14">
        <f t="shared" si="20"/>
        <v>1</v>
      </c>
      <c r="CF64" s="14">
        <f t="shared" si="21"/>
        <v>24.63</v>
      </c>
      <c r="CG64" s="14">
        <f t="shared" si="22"/>
        <v>129</v>
      </c>
    </row>
    <row r="65" spans="1:85" ht="13.2" x14ac:dyDescent="0.25">
      <c r="A65" s="8">
        <v>28081</v>
      </c>
      <c r="B65" s="9" t="s">
        <v>159</v>
      </c>
      <c r="C65" s="9" t="s">
        <v>86</v>
      </c>
      <c r="D65" s="9">
        <v>1</v>
      </c>
      <c r="E65" s="9">
        <v>0</v>
      </c>
      <c r="F65" s="9">
        <v>0</v>
      </c>
      <c r="G65" s="9">
        <v>0</v>
      </c>
      <c r="H65" s="10">
        <v>21</v>
      </c>
      <c r="I65" s="9">
        <v>8</v>
      </c>
      <c r="J65" s="11">
        <f t="shared" si="0"/>
        <v>0.2</v>
      </c>
      <c r="K65" s="10">
        <v>229</v>
      </c>
      <c r="L65" s="11">
        <v>0.1</v>
      </c>
      <c r="M65" s="11">
        <v>0</v>
      </c>
      <c r="N65" s="11" t="s">
        <v>90</v>
      </c>
      <c r="O65" s="11">
        <v>2</v>
      </c>
      <c r="P65" s="12" t="s">
        <v>88</v>
      </c>
      <c r="Q65" s="12">
        <v>0</v>
      </c>
      <c r="R65" s="9">
        <v>28</v>
      </c>
      <c r="S65" s="10">
        <v>50</v>
      </c>
      <c r="T65" s="10">
        <v>12.05</v>
      </c>
      <c r="U65" s="10">
        <f t="shared" si="1"/>
        <v>0.2</v>
      </c>
      <c r="V65" s="10">
        <v>117.44</v>
      </c>
      <c r="W65" s="10">
        <f t="shared" si="2"/>
        <v>0.5</v>
      </c>
      <c r="X65" s="10">
        <v>19</v>
      </c>
      <c r="Y65" s="10">
        <v>5</v>
      </c>
      <c r="Z65" s="10">
        <v>0</v>
      </c>
      <c r="AA65" s="10">
        <v>1</v>
      </c>
      <c r="AB65" s="10">
        <v>0</v>
      </c>
      <c r="AC65" s="9">
        <f t="shared" si="3"/>
        <v>2</v>
      </c>
      <c r="AD65" s="9">
        <v>0</v>
      </c>
      <c r="AE65" s="9">
        <v>0.7</v>
      </c>
      <c r="AF65" s="9">
        <v>1.7500000000000002E-2</v>
      </c>
      <c r="AG65" s="9">
        <v>7</v>
      </c>
      <c r="AH65" s="9">
        <v>1.0999999999999999E-2</v>
      </c>
      <c r="AI65" s="13">
        <v>60</v>
      </c>
      <c r="AJ65" s="9">
        <f t="shared" si="4"/>
        <v>0.7</v>
      </c>
      <c r="AK65" s="9">
        <v>0</v>
      </c>
      <c r="AL65" s="9">
        <v>0</v>
      </c>
      <c r="AM65" s="9">
        <v>0</v>
      </c>
      <c r="AN65" s="9">
        <v>0</v>
      </c>
      <c r="AO65" s="9">
        <f t="shared" si="34"/>
        <v>0</v>
      </c>
      <c r="AP65" s="9">
        <v>0</v>
      </c>
      <c r="AQ65" s="9">
        <f t="shared" si="35"/>
        <v>0.3</v>
      </c>
      <c r="AR65" s="9">
        <v>3.5</v>
      </c>
      <c r="AS65" s="9">
        <v>0</v>
      </c>
      <c r="AT65" s="9">
        <v>0</v>
      </c>
      <c r="AU65" s="9">
        <v>0</v>
      </c>
      <c r="AV65" s="9">
        <v>0</v>
      </c>
      <c r="AW65" s="12">
        <v>31</v>
      </c>
      <c r="AX65" s="9">
        <v>0.3</v>
      </c>
      <c r="AY65" s="9">
        <v>0</v>
      </c>
      <c r="AZ65" s="9">
        <f t="shared" si="36"/>
        <v>0</v>
      </c>
      <c r="BA65" s="9">
        <v>0</v>
      </c>
      <c r="BB65" s="9">
        <v>0</v>
      </c>
      <c r="BC65" s="9">
        <v>0</v>
      </c>
      <c r="BD65" s="9">
        <v>0</v>
      </c>
      <c r="BE65" s="9">
        <v>6</v>
      </c>
      <c r="BF65" s="9">
        <f t="shared" si="8"/>
        <v>0</v>
      </c>
      <c r="BG65" s="9">
        <f t="shared" si="32"/>
        <v>2</v>
      </c>
      <c r="BH65" s="9">
        <v>6</v>
      </c>
      <c r="BI65" s="9">
        <f t="shared" si="10"/>
        <v>0</v>
      </c>
      <c r="BJ65" s="9">
        <v>6</v>
      </c>
      <c r="BK65" s="9">
        <v>0.56999999999999995</v>
      </c>
      <c r="BL65" s="15">
        <v>6</v>
      </c>
      <c r="BM65" s="14">
        <v>0</v>
      </c>
      <c r="BN65" s="8">
        <v>0</v>
      </c>
      <c r="BO65" s="14">
        <v>0</v>
      </c>
      <c r="BP65" s="14">
        <f t="shared" si="11"/>
        <v>0.3</v>
      </c>
      <c r="BQ65" s="14">
        <v>0</v>
      </c>
      <c r="BR65" s="15">
        <v>0</v>
      </c>
      <c r="BS65" s="15">
        <f t="shared" si="29"/>
        <v>0.129</v>
      </c>
      <c r="BT65" s="14">
        <v>0</v>
      </c>
      <c r="BU65" s="14">
        <v>0</v>
      </c>
      <c r="BV65" s="15">
        <v>42.35</v>
      </c>
      <c r="BW65" s="15">
        <v>5.0999999999999997E-2</v>
      </c>
      <c r="BX65" s="15">
        <f t="shared" si="13"/>
        <v>24.999999999999996</v>
      </c>
      <c r="BY65" s="14">
        <f t="shared" si="14"/>
        <v>0</v>
      </c>
      <c r="BZ65" s="14">
        <f t="shared" si="15"/>
        <v>0</v>
      </c>
      <c r="CA65" s="14">
        <f t="shared" si="16"/>
        <v>0</v>
      </c>
      <c r="CB65" s="14">
        <f t="shared" si="17"/>
        <v>24.999999999999996</v>
      </c>
      <c r="CC65" s="15">
        <f t="shared" si="18"/>
        <v>0.71299999999999997</v>
      </c>
      <c r="CD65" s="14">
        <f t="shared" si="19"/>
        <v>17.829999999999998</v>
      </c>
      <c r="CE65" s="14">
        <f t="shared" si="20"/>
        <v>0.92500000000000004</v>
      </c>
      <c r="CF65" s="14">
        <f t="shared" si="21"/>
        <v>16.489999999999998</v>
      </c>
      <c r="CG65" s="14">
        <f t="shared" si="22"/>
        <v>172</v>
      </c>
    </row>
    <row r="66" spans="1:85" ht="13.2" x14ac:dyDescent="0.25">
      <c r="A66" s="8">
        <v>865427</v>
      </c>
      <c r="B66" s="9" t="s">
        <v>160</v>
      </c>
      <c r="C66" s="9" t="s">
        <v>86</v>
      </c>
      <c r="D66" s="9">
        <v>1</v>
      </c>
      <c r="E66" s="9">
        <v>0</v>
      </c>
      <c r="F66" s="9">
        <v>0</v>
      </c>
      <c r="G66" s="9">
        <v>0</v>
      </c>
      <c r="H66" s="10">
        <v>10</v>
      </c>
      <c r="I66" s="9">
        <v>9</v>
      </c>
      <c r="J66" s="11">
        <f t="shared" si="0"/>
        <v>0.2</v>
      </c>
      <c r="K66" s="10">
        <v>222</v>
      </c>
      <c r="L66" s="11">
        <v>0.1</v>
      </c>
      <c r="M66" s="11">
        <v>0</v>
      </c>
      <c r="N66" s="11" t="s">
        <v>90</v>
      </c>
      <c r="O66" s="11">
        <v>3</v>
      </c>
      <c r="P66" s="12" t="s">
        <v>88</v>
      </c>
      <c r="Q66" s="12">
        <v>0</v>
      </c>
      <c r="R66" s="9">
        <v>22</v>
      </c>
      <c r="S66" s="10">
        <v>61</v>
      </c>
      <c r="T66" s="10">
        <v>22.2</v>
      </c>
      <c r="U66" s="10">
        <f t="shared" si="1"/>
        <v>0.4</v>
      </c>
      <c r="V66" s="10">
        <v>160.87</v>
      </c>
      <c r="W66" s="10">
        <f t="shared" si="2"/>
        <v>0.7</v>
      </c>
      <c r="X66" s="10">
        <v>22</v>
      </c>
      <c r="Y66" s="10">
        <v>12</v>
      </c>
      <c r="Z66" s="10">
        <v>0</v>
      </c>
      <c r="AA66" s="10">
        <v>1</v>
      </c>
      <c r="AB66" s="10">
        <v>0</v>
      </c>
      <c r="AC66" s="9">
        <f t="shared" si="3"/>
        <v>2</v>
      </c>
      <c r="AD66" s="9">
        <v>0</v>
      </c>
      <c r="AE66" s="9">
        <v>0.6</v>
      </c>
      <c r="AF66" s="9">
        <v>1.4999999999999999E-2</v>
      </c>
      <c r="AG66" s="9">
        <v>7</v>
      </c>
      <c r="AH66" s="9">
        <v>4.0000000000000001E-3</v>
      </c>
      <c r="AI66" s="13">
        <v>50</v>
      </c>
      <c r="AJ66" s="9">
        <f t="shared" si="4"/>
        <v>0.6</v>
      </c>
      <c r="AK66" s="9">
        <v>0</v>
      </c>
      <c r="AL66" s="9">
        <v>0</v>
      </c>
      <c r="AM66" s="9">
        <v>0</v>
      </c>
      <c r="AN66" s="9">
        <v>0</v>
      </c>
      <c r="AO66" s="9">
        <f t="shared" si="34"/>
        <v>0</v>
      </c>
      <c r="AP66" s="9">
        <v>0</v>
      </c>
      <c r="AQ66" s="9">
        <f t="shared" si="35"/>
        <v>0.1</v>
      </c>
      <c r="AR66" s="9">
        <v>2.5</v>
      </c>
      <c r="AS66" s="9">
        <v>0</v>
      </c>
      <c r="AT66" s="9">
        <v>0</v>
      </c>
      <c r="AU66" s="9">
        <v>0</v>
      </c>
      <c r="AV66" s="9">
        <v>0</v>
      </c>
      <c r="AW66" s="12">
        <v>27</v>
      </c>
      <c r="AX66" s="9">
        <v>0.3</v>
      </c>
      <c r="AY66" s="9">
        <v>0</v>
      </c>
      <c r="AZ66" s="9">
        <f t="shared" si="36"/>
        <v>0</v>
      </c>
      <c r="BA66" s="9">
        <v>0</v>
      </c>
      <c r="BB66" s="9">
        <v>0</v>
      </c>
      <c r="BC66" s="9">
        <v>0</v>
      </c>
      <c r="BD66" s="9">
        <v>0</v>
      </c>
      <c r="BE66" s="9">
        <v>6.5</v>
      </c>
      <c r="BF66" s="9">
        <f t="shared" si="8"/>
        <v>0.1</v>
      </c>
      <c r="BG66" s="9">
        <f t="shared" si="32"/>
        <v>2</v>
      </c>
      <c r="BH66" s="9">
        <v>6</v>
      </c>
      <c r="BI66" s="9">
        <f t="shared" si="10"/>
        <v>0</v>
      </c>
      <c r="BJ66" s="9">
        <v>7</v>
      </c>
      <c r="BK66" s="9">
        <v>0.71</v>
      </c>
      <c r="BL66" s="15">
        <v>7</v>
      </c>
      <c r="BM66" s="14">
        <v>0.33</v>
      </c>
      <c r="BN66" s="8">
        <v>0</v>
      </c>
      <c r="BO66" s="14">
        <v>0</v>
      </c>
      <c r="BP66" s="14">
        <f t="shared" si="11"/>
        <v>0.3</v>
      </c>
      <c r="BQ66" s="14">
        <v>0</v>
      </c>
      <c r="BR66" s="15">
        <v>0</v>
      </c>
      <c r="BS66" s="15">
        <f t="shared" si="29"/>
        <v>0.125</v>
      </c>
      <c r="BT66" s="14">
        <v>0</v>
      </c>
      <c r="BU66" s="14">
        <v>0</v>
      </c>
      <c r="BV66" s="15">
        <v>44.85</v>
      </c>
      <c r="BW66" s="15">
        <v>5.3999999999999999E-2</v>
      </c>
      <c r="BX66" s="15">
        <f t="shared" si="13"/>
        <v>29.000000000000004</v>
      </c>
      <c r="BY66" s="14">
        <f t="shared" si="14"/>
        <v>0</v>
      </c>
      <c r="BZ66" s="14">
        <f t="shared" si="15"/>
        <v>0</v>
      </c>
      <c r="CA66" s="14">
        <f t="shared" si="16"/>
        <v>0</v>
      </c>
      <c r="CB66" s="14">
        <f t="shared" si="17"/>
        <v>29.000000000000004</v>
      </c>
      <c r="CC66" s="15">
        <f t="shared" si="18"/>
        <v>0.71299999999999997</v>
      </c>
      <c r="CD66" s="14">
        <f t="shared" si="19"/>
        <v>20.68</v>
      </c>
      <c r="CE66" s="14">
        <f t="shared" si="20"/>
        <v>0.97499999999999998</v>
      </c>
      <c r="CF66" s="14">
        <f t="shared" si="21"/>
        <v>20.16</v>
      </c>
      <c r="CG66" s="14">
        <f t="shared" si="22"/>
        <v>154</v>
      </c>
    </row>
    <row r="67" spans="1:85" ht="13.2" x14ac:dyDescent="0.25">
      <c r="A67" s="8">
        <v>279810</v>
      </c>
      <c r="B67" s="9" t="s">
        <v>161</v>
      </c>
      <c r="C67" s="9" t="s">
        <v>86</v>
      </c>
      <c r="D67" s="9">
        <v>1</v>
      </c>
      <c r="E67" s="9">
        <v>1</v>
      </c>
      <c r="F67" s="9">
        <v>0</v>
      </c>
      <c r="G67" s="9">
        <v>0</v>
      </c>
      <c r="H67" s="10">
        <v>26</v>
      </c>
      <c r="I67" s="9">
        <v>29</v>
      </c>
      <c r="J67" s="11">
        <f t="shared" si="0"/>
        <v>0.2</v>
      </c>
      <c r="K67" s="10">
        <v>321</v>
      </c>
      <c r="L67" s="11">
        <v>0.1</v>
      </c>
      <c r="M67" s="11">
        <v>0.1</v>
      </c>
      <c r="N67" s="11" t="s">
        <v>96</v>
      </c>
      <c r="O67" s="11">
        <v>2</v>
      </c>
      <c r="P67" s="12" t="s">
        <v>97</v>
      </c>
      <c r="Q67" s="12">
        <v>1</v>
      </c>
      <c r="R67" s="9">
        <v>32</v>
      </c>
      <c r="S67" s="10">
        <v>49</v>
      </c>
      <c r="T67" s="10">
        <v>22.93</v>
      </c>
      <c r="U67" s="10">
        <f t="shared" si="1"/>
        <v>0.4</v>
      </c>
      <c r="V67" s="10">
        <v>118.89</v>
      </c>
      <c r="W67" s="10">
        <f t="shared" si="2"/>
        <v>0.5</v>
      </c>
      <c r="X67" s="10">
        <v>23</v>
      </c>
      <c r="Y67" s="10">
        <v>11</v>
      </c>
      <c r="Z67" s="10">
        <v>0</v>
      </c>
      <c r="AA67" s="10">
        <v>0</v>
      </c>
      <c r="AB67" s="10">
        <v>20.399999999999999</v>
      </c>
      <c r="AC67" s="9">
        <f t="shared" si="3"/>
        <v>3</v>
      </c>
      <c r="AD67" s="9">
        <v>0</v>
      </c>
      <c r="AE67" s="9">
        <v>0.6</v>
      </c>
      <c r="AF67" s="9">
        <v>1.4999999999999999E-2</v>
      </c>
      <c r="AG67" s="9">
        <v>7</v>
      </c>
      <c r="AH67" s="9">
        <v>3.0000000000000001E-3</v>
      </c>
      <c r="AI67" s="13">
        <v>60</v>
      </c>
      <c r="AJ67" s="9">
        <f t="shared" si="4"/>
        <v>0.7</v>
      </c>
      <c r="AK67" s="9">
        <v>15</v>
      </c>
      <c r="AL67" s="9">
        <v>75</v>
      </c>
      <c r="AM67" s="9">
        <v>7.57</v>
      </c>
      <c r="AN67" s="9">
        <v>0.3</v>
      </c>
      <c r="AO67" s="9">
        <v>0.9</v>
      </c>
      <c r="AP67" s="9">
        <v>8.5</v>
      </c>
      <c r="AQ67" s="9">
        <f t="shared" si="35"/>
        <v>0.4</v>
      </c>
      <c r="AR67" s="9">
        <v>4.5</v>
      </c>
      <c r="AS67" s="9">
        <v>0.5</v>
      </c>
      <c r="AT67" s="9">
        <v>0.33</v>
      </c>
      <c r="AU67" s="9">
        <v>31</v>
      </c>
      <c r="AV67" s="9">
        <v>0.4</v>
      </c>
      <c r="AW67" s="12">
        <v>18</v>
      </c>
      <c r="AX67" s="9">
        <v>0.2</v>
      </c>
      <c r="AY67" s="9">
        <v>0</v>
      </c>
      <c r="AZ67" s="9">
        <v>0</v>
      </c>
      <c r="BA67" s="9">
        <v>0</v>
      </c>
      <c r="BB67" s="9">
        <v>0</v>
      </c>
      <c r="BC67" s="9">
        <v>75</v>
      </c>
      <c r="BD67" s="9">
        <v>37.5</v>
      </c>
      <c r="BE67" s="9">
        <v>6.5</v>
      </c>
      <c r="BF67" s="9">
        <f t="shared" si="8"/>
        <v>0.1</v>
      </c>
      <c r="BG67" s="9">
        <f t="shared" si="32"/>
        <v>2</v>
      </c>
      <c r="BH67" s="9">
        <v>7</v>
      </c>
      <c r="BI67" s="9">
        <f t="shared" si="10"/>
        <v>0.3</v>
      </c>
      <c r="BJ67" s="9">
        <v>6</v>
      </c>
      <c r="BK67" s="9">
        <v>0.56999999999999995</v>
      </c>
      <c r="BL67" s="15">
        <v>7</v>
      </c>
      <c r="BM67" s="14">
        <v>0.33</v>
      </c>
      <c r="BN67" s="8">
        <v>0</v>
      </c>
      <c r="BO67" s="14">
        <v>0</v>
      </c>
      <c r="BP67" s="14">
        <f t="shared" si="11"/>
        <v>0.3</v>
      </c>
      <c r="BQ67" s="14">
        <v>0.2</v>
      </c>
      <c r="BR67" s="15">
        <v>0</v>
      </c>
      <c r="BS67" s="15">
        <f t="shared" si="29"/>
        <v>0.17199999999999999</v>
      </c>
      <c r="BT67" s="14">
        <v>0</v>
      </c>
      <c r="BU67" s="14">
        <v>0</v>
      </c>
      <c r="BV67" s="15">
        <v>40.65</v>
      </c>
      <c r="BW67" s="15">
        <v>4.9000000000000002E-2</v>
      </c>
      <c r="BX67" s="15">
        <f t="shared" si="13"/>
        <v>25</v>
      </c>
      <c r="BY67" s="14">
        <f t="shared" si="14"/>
        <v>34.900000000000006</v>
      </c>
      <c r="BZ67" s="14">
        <f t="shared" si="15"/>
        <v>0</v>
      </c>
      <c r="CA67" s="14">
        <f t="shared" si="16"/>
        <v>0</v>
      </c>
      <c r="CB67" s="14">
        <f t="shared" si="17"/>
        <v>59.900000000000006</v>
      </c>
      <c r="CC67" s="15">
        <f t="shared" si="18"/>
        <v>0.71699999999999997</v>
      </c>
      <c r="CD67" s="14">
        <f t="shared" si="19"/>
        <v>42.95</v>
      </c>
      <c r="CE67" s="14">
        <f t="shared" si="20"/>
        <v>0.82</v>
      </c>
      <c r="CF67" s="14">
        <f t="shared" si="21"/>
        <v>35.22</v>
      </c>
      <c r="CG67" s="14">
        <f t="shared" si="22"/>
        <v>60</v>
      </c>
    </row>
    <row r="68" spans="1:85" ht="13.2" x14ac:dyDescent="0.25">
      <c r="A68" s="8">
        <v>290630</v>
      </c>
      <c r="B68" s="9" t="s">
        <v>162</v>
      </c>
      <c r="C68" s="9" t="s">
        <v>86</v>
      </c>
      <c r="D68" s="9">
        <v>1</v>
      </c>
      <c r="E68" s="9">
        <v>0</v>
      </c>
      <c r="F68" s="9">
        <v>1</v>
      </c>
      <c r="G68" s="9">
        <v>0</v>
      </c>
      <c r="H68" s="10">
        <v>13</v>
      </c>
      <c r="I68" s="9">
        <v>17</v>
      </c>
      <c r="J68" s="11">
        <f t="shared" si="0"/>
        <v>0.3</v>
      </c>
      <c r="K68" s="10">
        <v>379</v>
      </c>
      <c r="L68" s="11">
        <v>0.1</v>
      </c>
      <c r="M68" s="11">
        <v>0.2</v>
      </c>
      <c r="N68" s="11" t="s">
        <v>90</v>
      </c>
      <c r="O68" s="11">
        <v>2</v>
      </c>
      <c r="P68" s="12" t="s">
        <v>88</v>
      </c>
      <c r="Q68" s="12">
        <v>0</v>
      </c>
      <c r="R68" s="9">
        <v>30</v>
      </c>
      <c r="S68" s="10">
        <v>73</v>
      </c>
      <c r="T68" s="10">
        <v>29.15</v>
      </c>
      <c r="U68" s="10">
        <f t="shared" si="1"/>
        <v>0.5</v>
      </c>
      <c r="V68" s="10">
        <v>144.11000000000001</v>
      </c>
      <c r="W68" s="10">
        <f t="shared" si="2"/>
        <v>0.6</v>
      </c>
      <c r="X68" s="10">
        <v>38</v>
      </c>
      <c r="Y68" s="10">
        <v>22</v>
      </c>
      <c r="Z68" s="10">
        <v>0</v>
      </c>
      <c r="AA68" s="10">
        <v>4</v>
      </c>
      <c r="AB68" s="10">
        <v>0</v>
      </c>
      <c r="AC68" s="9">
        <f t="shared" si="3"/>
        <v>2</v>
      </c>
      <c r="AD68" s="9">
        <v>0</v>
      </c>
      <c r="AE68" s="9">
        <v>0.6</v>
      </c>
      <c r="AF68" s="9">
        <v>1.4999999999999999E-2</v>
      </c>
      <c r="AG68" s="9">
        <v>7</v>
      </c>
      <c r="AH68" s="9">
        <v>3.0000000000000001E-3</v>
      </c>
      <c r="AI68" s="13">
        <v>55</v>
      </c>
      <c r="AJ68" s="9">
        <f t="shared" si="4"/>
        <v>0.6</v>
      </c>
      <c r="AK68" s="9">
        <v>0</v>
      </c>
      <c r="AL68" s="9">
        <v>2</v>
      </c>
      <c r="AM68" s="9">
        <v>8.43</v>
      </c>
      <c r="AN68" s="9">
        <v>0.6</v>
      </c>
      <c r="AO68" s="9">
        <v>0.8</v>
      </c>
      <c r="AP68" s="9">
        <v>6.85</v>
      </c>
      <c r="AQ68" s="9">
        <f t="shared" si="35"/>
        <v>0.3</v>
      </c>
      <c r="AR68" s="9">
        <v>3.5</v>
      </c>
      <c r="AS68" s="9">
        <v>0.65</v>
      </c>
      <c r="AT68" s="9">
        <v>0.43</v>
      </c>
      <c r="AU68" s="9">
        <v>34</v>
      </c>
      <c r="AV68" s="9">
        <v>0.5</v>
      </c>
      <c r="AW68" s="12">
        <v>25</v>
      </c>
      <c r="AX68" s="9">
        <v>0.3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7</v>
      </c>
      <c r="BF68" s="9">
        <f t="shared" si="8"/>
        <v>0.3</v>
      </c>
      <c r="BG68" s="9">
        <f t="shared" si="32"/>
        <v>2</v>
      </c>
      <c r="BH68" s="9">
        <v>6</v>
      </c>
      <c r="BI68" s="9">
        <f t="shared" si="10"/>
        <v>0</v>
      </c>
      <c r="BJ68" s="9">
        <v>8</v>
      </c>
      <c r="BK68" s="9">
        <v>0.86</v>
      </c>
      <c r="BL68" s="15">
        <v>6</v>
      </c>
      <c r="BM68" s="14">
        <v>0</v>
      </c>
      <c r="BN68" s="8">
        <v>0.7</v>
      </c>
      <c r="BO68" s="14">
        <v>0</v>
      </c>
      <c r="BP68" s="14">
        <f t="shared" si="11"/>
        <v>0.4</v>
      </c>
      <c r="BQ68" s="14">
        <v>0</v>
      </c>
      <c r="BR68" s="15">
        <v>0</v>
      </c>
      <c r="BS68" s="15">
        <f t="shared" si="29"/>
        <v>0.21099999999999999</v>
      </c>
      <c r="BT68" s="14">
        <v>0</v>
      </c>
      <c r="BU68" s="14">
        <v>0</v>
      </c>
      <c r="BV68" s="15">
        <v>58.2</v>
      </c>
      <c r="BW68" s="15">
        <v>6.8000000000000005E-2</v>
      </c>
      <c r="BX68" s="15">
        <f t="shared" si="13"/>
        <v>33.500000000000007</v>
      </c>
      <c r="BY68" s="14">
        <f t="shared" si="14"/>
        <v>0</v>
      </c>
      <c r="BZ68" s="14">
        <f t="shared" si="15"/>
        <v>7.5830000000000002</v>
      </c>
      <c r="CA68" s="14">
        <f t="shared" si="16"/>
        <v>0</v>
      </c>
      <c r="CB68" s="14">
        <f t="shared" si="17"/>
        <v>41.083000000000006</v>
      </c>
      <c r="CC68" s="15">
        <f t="shared" si="18"/>
        <v>0.72099999999999997</v>
      </c>
      <c r="CD68" s="14">
        <f t="shared" si="19"/>
        <v>29.62</v>
      </c>
      <c r="CE68" s="14">
        <f t="shared" si="20"/>
        <v>0.88</v>
      </c>
      <c r="CF68" s="14">
        <f t="shared" si="21"/>
        <v>26.07</v>
      </c>
      <c r="CG68" s="14">
        <f t="shared" si="22"/>
        <v>122</v>
      </c>
    </row>
    <row r="69" spans="1:85" ht="13.2" x14ac:dyDescent="0.25">
      <c r="A69" s="8">
        <v>1212214</v>
      </c>
      <c r="B69" s="9" t="s">
        <v>163</v>
      </c>
      <c r="C69" s="9" t="s">
        <v>86</v>
      </c>
      <c r="D69" s="9">
        <v>1</v>
      </c>
      <c r="E69" s="9">
        <v>0</v>
      </c>
      <c r="F69" s="9">
        <v>0</v>
      </c>
      <c r="G69" s="9">
        <v>0</v>
      </c>
      <c r="H69" s="10">
        <v>12</v>
      </c>
      <c r="I69" s="9">
        <v>25</v>
      </c>
      <c r="J69" s="11">
        <f t="shared" si="0"/>
        <v>0.1</v>
      </c>
      <c r="K69" s="10">
        <v>189</v>
      </c>
      <c r="L69" s="11">
        <v>0.1</v>
      </c>
      <c r="M69" s="11">
        <v>0</v>
      </c>
      <c r="N69" s="11" t="s">
        <v>87</v>
      </c>
      <c r="O69" s="11">
        <v>3</v>
      </c>
      <c r="P69" s="12" t="s">
        <v>164</v>
      </c>
      <c r="Q69" s="12">
        <v>1</v>
      </c>
      <c r="R69" s="9">
        <v>23</v>
      </c>
      <c r="S69" s="10">
        <v>48</v>
      </c>
      <c r="T69" s="10">
        <v>27</v>
      </c>
      <c r="U69" s="10">
        <f t="shared" si="1"/>
        <v>0.5</v>
      </c>
      <c r="V69" s="10">
        <v>127.7</v>
      </c>
      <c r="W69" s="10">
        <f t="shared" si="2"/>
        <v>0.5</v>
      </c>
      <c r="X69" s="10">
        <v>16</v>
      </c>
      <c r="Y69" s="10">
        <v>7</v>
      </c>
      <c r="Z69" s="10">
        <v>0</v>
      </c>
      <c r="AA69" s="10">
        <v>0</v>
      </c>
      <c r="AB69" s="10">
        <v>0</v>
      </c>
      <c r="AC69" s="9">
        <f t="shared" si="3"/>
        <v>2</v>
      </c>
      <c r="AD69" s="9">
        <v>0</v>
      </c>
      <c r="AE69" s="9">
        <v>0.6</v>
      </c>
      <c r="AF69" s="9">
        <v>1.4999999999999999E-2</v>
      </c>
      <c r="AG69" s="9">
        <v>6.5</v>
      </c>
      <c r="AH69" s="9">
        <v>3.0000000000000001E-3</v>
      </c>
      <c r="AI69" s="13">
        <v>45</v>
      </c>
      <c r="AJ69" s="9">
        <f t="shared" si="4"/>
        <v>0.5</v>
      </c>
      <c r="AK69" s="9">
        <v>0</v>
      </c>
      <c r="AL69" s="9">
        <v>0</v>
      </c>
      <c r="AM69" s="9">
        <v>0</v>
      </c>
      <c r="AN69" s="9">
        <v>0</v>
      </c>
      <c r="AO69" s="9">
        <f t="shared" ref="AO69:AO76" si="37">ROUND((AP69 - MIN($AP$2:$AP2050)) / (MAX($AP$2:$AP2050) - MIN($AP$2:$AP2050)), 1)</f>
        <v>0</v>
      </c>
      <c r="AP69" s="9">
        <v>0</v>
      </c>
      <c r="AQ69" s="9">
        <f t="shared" si="35"/>
        <v>0.1</v>
      </c>
      <c r="AR69" s="9">
        <v>2.5</v>
      </c>
      <c r="AS69" s="9">
        <v>0</v>
      </c>
      <c r="AT69" s="9">
        <v>0</v>
      </c>
      <c r="AU69" s="9">
        <v>0</v>
      </c>
      <c r="AV69" s="9">
        <v>0</v>
      </c>
      <c r="AW69" s="12">
        <v>21</v>
      </c>
      <c r="AX69" s="9">
        <v>0.2</v>
      </c>
      <c r="AY69" s="9">
        <v>0</v>
      </c>
      <c r="AZ69" s="9">
        <f t="shared" ref="AZ69:AZ76" si="38">(AP69 - MIN($AP$2:$AP$964)) / (MAX($AP$2:$AP$964) - MIN($AP$2:$AP$964))</f>
        <v>0</v>
      </c>
      <c r="BA69" s="9">
        <v>0</v>
      </c>
      <c r="BB69" s="9">
        <v>0</v>
      </c>
      <c r="BC69" s="9">
        <v>0</v>
      </c>
      <c r="BD69" s="9">
        <v>0</v>
      </c>
      <c r="BE69" s="9">
        <v>7</v>
      </c>
      <c r="BF69" s="9">
        <f t="shared" si="8"/>
        <v>0.3</v>
      </c>
      <c r="BG69" s="9">
        <f t="shared" si="32"/>
        <v>2</v>
      </c>
      <c r="BH69" s="9">
        <v>6</v>
      </c>
      <c r="BI69" s="9">
        <f t="shared" si="10"/>
        <v>0</v>
      </c>
      <c r="BJ69" s="9">
        <v>7</v>
      </c>
      <c r="BK69" s="9">
        <v>0.71</v>
      </c>
      <c r="BL69" s="15">
        <v>7</v>
      </c>
      <c r="BM69" s="14">
        <v>0.33</v>
      </c>
      <c r="BN69" s="8">
        <v>0</v>
      </c>
      <c r="BO69" s="14">
        <v>0</v>
      </c>
      <c r="BP69" s="14">
        <f t="shared" si="11"/>
        <v>0.3</v>
      </c>
      <c r="BQ69" s="14">
        <v>0</v>
      </c>
      <c r="BR69" s="15">
        <v>0</v>
      </c>
      <c r="BS69" s="15">
        <f t="shared" si="29"/>
        <v>0.129</v>
      </c>
      <c r="BT69" s="14">
        <v>0</v>
      </c>
      <c r="BU69" s="14">
        <v>0</v>
      </c>
      <c r="BV69" s="15">
        <v>44.95</v>
      </c>
      <c r="BW69" s="15">
        <v>5.3999999999999999E-2</v>
      </c>
      <c r="BX69" s="15">
        <f t="shared" si="13"/>
        <v>27</v>
      </c>
      <c r="BY69" s="14">
        <f t="shared" si="14"/>
        <v>0</v>
      </c>
      <c r="BZ69" s="14">
        <f t="shared" si="15"/>
        <v>0</v>
      </c>
      <c r="CA69" s="14">
        <f t="shared" si="16"/>
        <v>0</v>
      </c>
      <c r="CB69" s="14">
        <f t="shared" si="17"/>
        <v>27</v>
      </c>
      <c r="CC69" s="15">
        <f t="shared" si="18"/>
        <v>0.71299999999999997</v>
      </c>
      <c r="CD69" s="14">
        <f t="shared" si="19"/>
        <v>19.25</v>
      </c>
      <c r="CE69" s="14">
        <f t="shared" si="20"/>
        <v>0.97499999999999998</v>
      </c>
      <c r="CF69" s="14">
        <f t="shared" si="21"/>
        <v>18.77</v>
      </c>
      <c r="CG69" s="14">
        <f t="shared" si="22"/>
        <v>163</v>
      </c>
    </row>
    <row r="70" spans="1:85" ht="13.2" x14ac:dyDescent="0.25">
      <c r="A70" s="8">
        <v>1212213</v>
      </c>
      <c r="B70" s="9" t="s">
        <v>165</v>
      </c>
      <c r="C70" s="9" t="s">
        <v>86</v>
      </c>
      <c r="D70" s="9">
        <v>1</v>
      </c>
      <c r="E70" s="9">
        <v>0</v>
      </c>
      <c r="F70" s="9">
        <v>0</v>
      </c>
      <c r="G70" s="9">
        <v>0</v>
      </c>
      <c r="H70" s="10">
        <v>9</v>
      </c>
      <c r="I70" s="9">
        <v>23</v>
      </c>
      <c r="J70" s="11">
        <f t="shared" si="0"/>
        <v>0.1</v>
      </c>
      <c r="K70" s="10">
        <v>182</v>
      </c>
      <c r="L70" s="11">
        <v>0.1</v>
      </c>
      <c r="M70" s="11">
        <v>0</v>
      </c>
      <c r="N70" s="11" t="s">
        <v>90</v>
      </c>
      <c r="O70" s="11">
        <v>2</v>
      </c>
      <c r="P70" s="12" t="s">
        <v>88</v>
      </c>
      <c r="Q70" s="12">
        <v>0</v>
      </c>
      <c r="R70" s="9">
        <v>37</v>
      </c>
      <c r="S70" s="10">
        <v>57</v>
      </c>
      <c r="T70" s="10">
        <v>26</v>
      </c>
      <c r="U70" s="10">
        <f t="shared" si="1"/>
        <v>0.5</v>
      </c>
      <c r="V70" s="10">
        <v>133.82</v>
      </c>
      <c r="W70" s="10">
        <f t="shared" si="2"/>
        <v>0.5</v>
      </c>
      <c r="X70" s="10">
        <v>12</v>
      </c>
      <c r="Y70" s="10">
        <v>8</v>
      </c>
      <c r="Z70" s="10">
        <v>0</v>
      </c>
      <c r="AA70" s="10">
        <v>1</v>
      </c>
      <c r="AB70" s="10">
        <v>0</v>
      </c>
      <c r="AC70" s="9">
        <f t="shared" si="3"/>
        <v>2</v>
      </c>
      <c r="AD70" s="9">
        <v>0</v>
      </c>
      <c r="AE70" s="9">
        <v>0.6</v>
      </c>
      <c r="AF70" s="9">
        <v>1.4999999999999999E-2</v>
      </c>
      <c r="AG70" s="9">
        <v>7</v>
      </c>
      <c r="AH70" s="9">
        <v>4.0000000000000001E-3</v>
      </c>
      <c r="AI70" s="13">
        <v>60</v>
      </c>
      <c r="AJ70" s="9">
        <f t="shared" si="4"/>
        <v>0.7</v>
      </c>
      <c r="AK70" s="9">
        <v>0</v>
      </c>
      <c r="AL70" s="9">
        <v>0</v>
      </c>
      <c r="AM70" s="9">
        <v>0</v>
      </c>
      <c r="AN70" s="9">
        <v>0</v>
      </c>
      <c r="AO70" s="9">
        <f t="shared" si="37"/>
        <v>0</v>
      </c>
      <c r="AP70" s="9">
        <v>0</v>
      </c>
      <c r="AQ70" s="9">
        <f t="shared" si="35"/>
        <v>0.3</v>
      </c>
      <c r="AR70" s="9">
        <v>4</v>
      </c>
      <c r="AS70" s="9">
        <v>0</v>
      </c>
      <c r="AT70" s="9">
        <v>0</v>
      </c>
      <c r="AU70" s="9">
        <v>0</v>
      </c>
      <c r="AV70" s="9">
        <v>0</v>
      </c>
      <c r="AW70" s="12">
        <v>23</v>
      </c>
      <c r="AX70" s="9">
        <v>0.2</v>
      </c>
      <c r="AY70" s="9">
        <v>0</v>
      </c>
      <c r="AZ70" s="9">
        <f t="shared" si="38"/>
        <v>0</v>
      </c>
      <c r="BA70" s="9">
        <v>0</v>
      </c>
      <c r="BB70" s="9">
        <v>0</v>
      </c>
      <c r="BC70" s="9">
        <v>0</v>
      </c>
      <c r="BD70" s="9">
        <v>0</v>
      </c>
      <c r="BE70" s="9">
        <v>6.5</v>
      </c>
      <c r="BF70" s="9">
        <f t="shared" si="8"/>
        <v>0.1</v>
      </c>
      <c r="BG70" s="9">
        <f t="shared" si="32"/>
        <v>2</v>
      </c>
      <c r="BH70" s="9">
        <v>6</v>
      </c>
      <c r="BI70" s="9">
        <f t="shared" si="10"/>
        <v>0</v>
      </c>
      <c r="BJ70" s="9">
        <v>7</v>
      </c>
      <c r="BK70" s="9">
        <v>0.71</v>
      </c>
      <c r="BL70" s="15">
        <v>7</v>
      </c>
      <c r="BM70" s="14">
        <v>0.33</v>
      </c>
      <c r="BN70" s="8">
        <v>0</v>
      </c>
      <c r="BO70" s="14">
        <v>0</v>
      </c>
      <c r="BP70" s="14">
        <f t="shared" si="11"/>
        <v>0.3</v>
      </c>
      <c r="BQ70" s="14">
        <v>0</v>
      </c>
      <c r="BR70" s="15">
        <v>0</v>
      </c>
      <c r="BS70" s="15">
        <f t="shared" si="29"/>
        <v>0.13700000000000001</v>
      </c>
      <c r="BT70" s="14">
        <v>0</v>
      </c>
      <c r="BU70" s="14">
        <v>0</v>
      </c>
      <c r="BV70" s="15">
        <v>43.35</v>
      </c>
      <c r="BW70" s="15">
        <v>5.1999999999999998E-2</v>
      </c>
      <c r="BX70" s="15">
        <f t="shared" si="13"/>
        <v>25</v>
      </c>
      <c r="BY70" s="14">
        <f t="shared" si="14"/>
        <v>0</v>
      </c>
      <c r="BZ70" s="14">
        <f t="shared" si="15"/>
        <v>0</v>
      </c>
      <c r="CA70" s="14">
        <f t="shared" si="16"/>
        <v>0</v>
      </c>
      <c r="CB70" s="14">
        <f t="shared" si="17"/>
        <v>25</v>
      </c>
      <c r="CC70" s="15">
        <f t="shared" si="18"/>
        <v>0.71399999999999997</v>
      </c>
      <c r="CD70" s="14">
        <f t="shared" si="19"/>
        <v>17.850000000000001</v>
      </c>
      <c r="CE70" s="14">
        <f t="shared" si="20"/>
        <v>0.92500000000000004</v>
      </c>
      <c r="CF70" s="14">
        <f t="shared" si="21"/>
        <v>16.510000000000002</v>
      </c>
      <c r="CG70" s="14">
        <f t="shared" si="22"/>
        <v>171</v>
      </c>
    </row>
    <row r="71" spans="1:85" ht="13.2" x14ac:dyDescent="0.25">
      <c r="A71" s="8">
        <v>600498</v>
      </c>
      <c r="B71" s="9" t="s">
        <v>166</v>
      </c>
      <c r="C71" s="9" t="s">
        <v>86</v>
      </c>
      <c r="D71" s="9">
        <v>1</v>
      </c>
      <c r="E71" s="9">
        <v>0</v>
      </c>
      <c r="F71" s="9">
        <v>0</v>
      </c>
      <c r="G71" s="9">
        <v>0</v>
      </c>
      <c r="H71" s="10">
        <v>20</v>
      </c>
      <c r="I71" s="9">
        <v>13</v>
      </c>
      <c r="J71" s="11">
        <f t="shared" si="0"/>
        <v>0.2</v>
      </c>
      <c r="K71" s="10">
        <v>310</v>
      </c>
      <c r="L71" s="11">
        <v>0.1</v>
      </c>
      <c r="M71" s="11">
        <v>0</v>
      </c>
      <c r="N71" s="11" t="s">
        <v>87</v>
      </c>
      <c r="O71" s="11">
        <v>1</v>
      </c>
      <c r="P71" s="12" t="s">
        <v>88</v>
      </c>
      <c r="Q71" s="12">
        <v>0</v>
      </c>
      <c r="R71" s="9">
        <v>23</v>
      </c>
      <c r="S71" s="10">
        <v>52</v>
      </c>
      <c r="T71" s="10">
        <v>16.32</v>
      </c>
      <c r="U71" s="10">
        <f t="shared" si="1"/>
        <v>0.3</v>
      </c>
      <c r="V71" s="10">
        <v>112.73</v>
      </c>
      <c r="W71" s="10">
        <f t="shared" si="2"/>
        <v>0.5</v>
      </c>
      <c r="X71" s="10">
        <v>34</v>
      </c>
      <c r="Y71" s="10">
        <v>6</v>
      </c>
      <c r="Z71" s="10">
        <v>0</v>
      </c>
      <c r="AA71" s="10">
        <v>2</v>
      </c>
      <c r="AB71" s="10">
        <v>0</v>
      </c>
      <c r="AC71" s="9">
        <f t="shared" si="3"/>
        <v>2</v>
      </c>
      <c r="AD71" s="9">
        <v>0</v>
      </c>
      <c r="AE71" s="9">
        <v>0.6</v>
      </c>
      <c r="AF71" s="9">
        <v>1.4999999999999999E-2</v>
      </c>
      <c r="AG71" s="9">
        <v>6.5</v>
      </c>
      <c r="AH71" s="9">
        <v>3.0000000000000001E-3</v>
      </c>
      <c r="AI71" s="13">
        <v>70</v>
      </c>
      <c r="AJ71" s="9">
        <f t="shared" si="4"/>
        <v>0.8</v>
      </c>
      <c r="AK71" s="9">
        <v>0</v>
      </c>
      <c r="AL71" s="9">
        <v>0</v>
      </c>
      <c r="AM71" s="9">
        <v>0</v>
      </c>
      <c r="AN71" s="9">
        <v>0</v>
      </c>
      <c r="AO71" s="9">
        <f t="shared" si="37"/>
        <v>0</v>
      </c>
      <c r="AP71" s="9">
        <v>0</v>
      </c>
      <c r="AQ71" s="9">
        <f t="shared" si="35"/>
        <v>0.1</v>
      </c>
      <c r="AR71" s="9">
        <v>2.5</v>
      </c>
      <c r="AS71" s="9">
        <v>0</v>
      </c>
      <c r="AT71" s="9">
        <v>0</v>
      </c>
      <c r="AU71" s="9">
        <v>0</v>
      </c>
      <c r="AV71" s="9">
        <v>0</v>
      </c>
      <c r="AW71" s="12">
        <v>26</v>
      </c>
      <c r="AX71" s="9">
        <v>0.3</v>
      </c>
      <c r="AY71" s="9">
        <v>0</v>
      </c>
      <c r="AZ71" s="9">
        <f t="shared" si="38"/>
        <v>0</v>
      </c>
      <c r="BA71" s="9">
        <v>0</v>
      </c>
      <c r="BB71" s="9">
        <v>0</v>
      </c>
      <c r="BC71" s="9">
        <v>0</v>
      </c>
      <c r="BD71" s="9">
        <v>0</v>
      </c>
      <c r="BE71" s="9">
        <v>7</v>
      </c>
      <c r="BF71" s="9">
        <f t="shared" si="8"/>
        <v>0.3</v>
      </c>
      <c r="BG71" s="9">
        <f t="shared" si="32"/>
        <v>2</v>
      </c>
      <c r="BH71" s="9">
        <v>6</v>
      </c>
      <c r="BI71" s="9">
        <f t="shared" si="10"/>
        <v>0</v>
      </c>
      <c r="BJ71" s="9">
        <v>6</v>
      </c>
      <c r="BK71" s="9">
        <v>0.56999999999999995</v>
      </c>
      <c r="BL71" s="15">
        <v>7</v>
      </c>
      <c r="BM71" s="14">
        <v>0.33</v>
      </c>
      <c r="BN71" s="8">
        <v>0</v>
      </c>
      <c r="BO71" s="14">
        <v>0</v>
      </c>
      <c r="BP71" s="14">
        <f t="shared" si="11"/>
        <v>0.3</v>
      </c>
      <c r="BQ71" s="14">
        <v>0</v>
      </c>
      <c r="BR71" s="15">
        <v>0</v>
      </c>
      <c r="BS71" s="15">
        <f t="shared" si="29"/>
        <v>0.16500000000000001</v>
      </c>
      <c r="BT71" s="14">
        <v>0</v>
      </c>
      <c r="BU71" s="14">
        <v>0</v>
      </c>
      <c r="BV71" s="15">
        <v>39.75</v>
      </c>
      <c r="BW71" s="15">
        <v>4.8000000000000001E-2</v>
      </c>
      <c r="BX71" s="15">
        <f t="shared" si="13"/>
        <v>27.999999999999996</v>
      </c>
      <c r="BY71" s="14">
        <f t="shared" si="14"/>
        <v>0</v>
      </c>
      <c r="BZ71" s="14">
        <f t="shared" si="15"/>
        <v>0</v>
      </c>
      <c r="CA71" s="14">
        <f t="shared" si="16"/>
        <v>0</v>
      </c>
      <c r="CB71" s="14">
        <f t="shared" si="17"/>
        <v>27.999999999999996</v>
      </c>
      <c r="CC71" s="15">
        <f t="shared" si="18"/>
        <v>0.71699999999999997</v>
      </c>
      <c r="CD71" s="14">
        <f t="shared" si="19"/>
        <v>20.079999999999998</v>
      </c>
      <c r="CE71" s="14">
        <f t="shared" si="20"/>
        <v>0.97499999999999998</v>
      </c>
      <c r="CF71" s="14">
        <f t="shared" si="21"/>
        <v>19.579999999999998</v>
      </c>
      <c r="CG71" s="14">
        <f t="shared" si="22"/>
        <v>156</v>
      </c>
    </row>
    <row r="72" spans="1:85" ht="13.2" x14ac:dyDescent="0.25">
      <c r="A72" s="8">
        <v>1142247</v>
      </c>
      <c r="B72" s="9" t="s">
        <v>167</v>
      </c>
      <c r="C72" s="9" t="s">
        <v>86</v>
      </c>
      <c r="D72" s="9">
        <v>1</v>
      </c>
      <c r="E72" s="9">
        <v>0</v>
      </c>
      <c r="F72" s="9">
        <v>0</v>
      </c>
      <c r="G72" s="9">
        <v>0</v>
      </c>
      <c r="H72" s="10">
        <v>12</v>
      </c>
      <c r="I72" s="9">
        <v>10</v>
      </c>
      <c r="J72" s="11">
        <f t="shared" si="0"/>
        <v>0.1</v>
      </c>
      <c r="K72" s="10">
        <v>158</v>
      </c>
      <c r="L72" s="11">
        <v>0.1</v>
      </c>
      <c r="M72" s="11">
        <v>0</v>
      </c>
      <c r="N72" s="11" t="s">
        <v>90</v>
      </c>
      <c r="O72" s="11">
        <v>2</v>
      </c>
      <c r="P72" s="12" t="s">
        <v>97</v>
      </c>
      <c r="Q72" s="12">
        <v>1</v>
      </c>
      <c r="R72" s="9">
        <v>37</v>
      </c>
      <c r="S72" s="10">
        <v>27</v>
      </c>
      <c r="T72" s="10">
        <v>15.8</v>
      </c>
      <c r="U72" s="10">
        <f t="shared" si="1"/>
        <v>0.3</v>
      </c>
      <c r="V72" s="10">
        <v>139.82</v>
      </c>
      <c r="W72" s="10">
        <f t="shared" si="2"/>
        <v>0.6</v>
      </c>
      <c r="X72" s="10">
        <v>10</v>
      </c>
      <c r="Y72" s="10">
        <v>9</v>
      </c>
      <c r="Z72" s="10">
        <v>0</v>
      </c>
      <c r="AA72" s="10">
        <v>0</v>
      </c>
      <c r="AB72" s="10">
        <v>0</v>
      </c>
      <c r="AC72" s="9">
        <f t="shared" si="3"/>
        <v>2</v>
      </c>
      <c r="AD72" s="9">
        <v>0</v>
      </c>
      <c r="AE72" s="9">
        <v>0.6</v>
      </c>
      <c r="AF72" s="9">
        <v>1.4999999999999999E-2</v>
      </c>
      <c r="AG72" s="9">
        <v>6.5</v>
      </c>
      <c r="AH72" s="9">
        <v>3.0000000000000001E-3</v>
      </c>
      <c r="AI72" s="13">
        <v>65</v>
      </c>
      <c r="AJ72" s="9">
        <f t="shared" si="4"/>
        <v>0.8</v>
      </c>
      <c r="AK72" s="9">
        <v>0</v>
      </c>
      <c r="AL72" s="9">
        <v>0</v>
      </c>
      <c r="AM72" s="9">
        <v>0</v>
      </c>
      <c r="AN72" s="9">
        <v>0</v>
      </c>
      <c r="AO72" s="9">
        <f t="shared" si="37"/>
        <v>0</v>
      </c>
      <c r="AP72" s="9">
        <v>0</v>
      </c>
      <c r="AQ72" s="9">
        <f t="shared" si="35"/>
        <v>0.7</v>
      </c>
      <c r="AR72" s="9">
        <v>6</v>
      </c>
      <c r="AS72" s="9">
        <v>0</v>
      </c>
      <c r="AT72" s="9">
        <v>0</v>
      </c>
      <c r="AU72" s="9">
        <v>0</v>
      </c>
      <c r="AV72" s="9">
        <v>0</v>
      </c>
      <c r="AW72" s="12">
        <v>27</v>
      </c>
      <c r="AX72" s="9">
        <v>0.3</v>
      </c>
      <c r="AY72" s="9">
        <v>0</v>
      </c>
      <c r="AZ72" s="9">
        <f t="shared" si="38"/>
        <v>0</v>
      </c>
      <c r="BA72" s="9">
        <v>0</v>
      </c>
      <c r="BB72" s="9">
        <v>0</v>
      </c>
      <c r="BC72" s="9">
        <v>0</v>
      </c>
      <c r="BD72" s="9">
        <v>0</v>
      </c>
      <c r="BE72" s="9">
        <v>7.5</v>
      </c>
      <c r="BF72" s="9">
        <f t="shared" si="8"/>
        <v>0.4</v>
      </c>
      <c r="BG72" s="9">
        <f t="shared" si="32"/>
        <v>2</v>
      </c>
      <c r="BH72" s="9">
        <v>7</v>
      </c>
      <c r="BI72" s="9">
        <f t="shared" si="10"/>
        <v>0.3</v>
      </c>
      <c r="BJ72" s="9">
        <v>8</v>
      </c>
      <c r="BK72" s="9">
        <v>0.86</v>
      </c>
      <c r="BL72" s="15">
        <v>7</v>
      </c>
      <c r="BM72" s="14">
        <v>0.33</v>
      </c>
      <c r="BN72" s="8">
        <v>0</v>
      </c>
      <c r="BO72" s="14">
        <v>0</v>
      </c>
      <c r="BP72" s="14">
        <f t="shared" si="11"/>
        <v>0.4</v>
      </c>
      <c r="BQ72" s="14">
        <v>0</v>
      </c>
      <c r="BR72" s="15">
        <v>0</v>
      </c>
      <c r="BS72" s="15">
        <f t="shared" si="29"/>
        <v>0.17300000000000001</v>
      </c>
      <c r="BT72" s="14">
        <v>0</v>
      </c>
      <c r="BU72" s="14">
        <v>0</v>
      </c>
      <c r="BV72" s="15">
        <v>58</v>
      </c>
      <c r="BW72" s="15">
        <v>6.8000000000000005E-2</v>
      </c>
      <c r="BX72" s="15">
        <f t="shared" si="13"/>
        <v>34.500000000000007</v>
      </c>
      <c r="BY72" s="14">
        <f t="shared" si="14"/>
        <v>0</v>
      </c>
      <c r="BZ72" s="14">
        <f t="shared" si="15"/>
        <v>0</v>
      </c>
      <c r="CA72" s="14">
        <f t="shared" si="16"/>
        <v>0</v>
      </c>
      <c r="CB72" s="14">
        <f t="shared" si="17"/>
        <v>34.500000000000007</v>
      </c>
      <c r="CC72" s="15">
        <f t="shared" si="18"/>
        <v>0.71699999999999997</v>
      </c>
      <c r="CD72" s="14">
        <f t="shared" si="19"/>
        <v>24.74</v>
      </c>
      <c r="CE72" s="14">
        <f t="shared" si="20"/>
        <v>0.82499999999999996</v>
      </c>
      <c r="CF72" s="14">
        <f t="shared" si="21"/>
        <v>20.41</v>
      </c>
      <c r="CG72" s="14">
        <f t="shared" si="22"/>
        <v>152</v>
      </c>
    </row>
    <row r="73" spans="1:85" ht="13.2" x14ac:dyDescent="0.25">
      <c r="A73" s="8">
        <v>926851</v>
      </c>
      <c r="B73" s="9" t="s">
        <v>168</v>
      </c>
      <c r="C73" s="9" t="s">
        <v>86</v>
      </c>
      <c r="D73" s="9">
        <v>1</v>
      </c>
      <c r="E73" s="9">
        <v>0</v>
      </c>
      <c r="F73" s="9">
        <v>0</v>
      </c>
      <c r="G73" s="9">
        <v>0</v>
      </c>
      <c r="H73" s="10">
        <v>10</v>
      </c>
      <c r="I73" s="9">
        <v>15</v>
      </c>
      <c r="J73" s="11">
        <f t="shared" si="0"/>
        <v>0.1</v>
      </c>
      <c r="K73" s="10">
        <v>110</v>
      </c>
      <c r="L73" s="11">
        <v>0.1</v>
      </c>
      <c r="M73" s="11">
        <v>0</v>
      </c>
      <c r="N73" s="11" t="s">
        <v>96</v>
      </c>
      <c r="O73" s="11">
        <v>1</v>
      </c>
      <c r="P73" s="12" t="s">
        <v>97</v>
      </c>
      <c r="Q73" s="12">
        <v>1</v>
      </c>
      <c r="R73" s="9">
        <v>29</v>
      </c>
      <c r="S73" s="10">
        <v>27</v>
      </c>
      <c r="T73" s="10">
        <v>12.22</v>
      </c>
      <c r="U73" s="10">
        <f t="shared" si="1"/>
        <v>0.2</v>
      </c>
      <c r="V73" s="10">
        <v>142.86000000000001</v>
      </c>
      <c r="W73" s="10">
        <f t="shared" si="2"/>
        <v>0.6</v>
      </c>
      <c r="X73" s="10">
        <v>11</v>
      </c>
      <c r="Y73" s="10">
        <v>6</v>
      </c>
      <c r="Z73" s="10">
        <v>0</v>
      </c>
      <c r="AA73" s="10">
        <v>0</v>
      </c>
      <c r="AB73" s="10">
        <v>0</v>
      </c>
      <c r="AC73" s="9">
        <f t="shared" si="3"/>
        <v>2</v>
      </c>
      <c r="AD73" s="9">
        <v>0</v>
      </c>
      <c r="AE73" s="9">
        <v>0.6</v>
      </c>
      <c r="AF73" s="9">
        <v>1.4999999999999999E-2</v>
      </c>
      <c r="AG73" s="9">
        <v>6.5</v>
      </c>
      <c r="AH73" s="9">
        <v>2E-3</v>
      </c>
      <c r="AI73" s="13">
        <v>60</v>
      </c>
      <c r="AJ73" s="9">
        <f t="shared" si="4"/>
        <v>0.7</v>
      </c>
      <c r="AK73" s="9">
        <v>0</v>
      </c>
      <c r="AL73" s="9">
        <v>0</v>
      </c>
      <c r="AM73" s="9">
        <v>0</v>
      </c>
      <c r="AN73" s="9">
        <v>0</v>
      </c>
      <c r="AO73" s="9">
        <f t="shared" si="37"/>
        <v>0</v>
      </c>
      <c r="AP73" s="9">
        <v>0</v>
      </c>
      <c r="AQ73" s="9">
        <f t="shared" si="35"/>
        <v>0.3</v>
      </c>
      <c r="AR73" s="9">
        <v>3.5</v>
      </c>
      <c r="AS73" s="9">
        <v>0</v>
      </c>
      <c r="AT73" s="9">
        <v>0</v>
      </c>
      <c r="AU73" s="9">
        <v>0</v>
      </c>
      <c r="AV73" s="9">
        <v>0</v>
      </c>
      <c r="AW73" s="12">
        <v>30</v>
      </c>
      <c r="AX73" s="9">
        <v>0.3</v>
      </c>
      <c r="AY73" s="9">
        <v>0</v>
      </c>
      <c r="AZ73" s="9">
        <f t="shared" si="38"/>
        <v>0</v>
      </c>
      <c r="BA73" s="9">
        <v>0</v>
      </c>
      <c r="BB73" s="9">
        <v>0</v>
      </c>
      <c r="BC73" s="9">
        <v>0</v>
      </c>
      <c r="BD73" s="9">
        <v>0</v>
      </c>
      <c r="BE73" s="9">
        <v>7</v>
      </c>
      <c r="BF73" s="9">
        <f t="shared" si="8"/>
        <v>0.3</v>
      </c>
      <c r="BG73" s="9">
        <f t="shared" si="32"/>
        <v>2</v>
      </c>
      <c r="BH73" s="9">
        <v>6</v>
      </c>
      <c r="BI73" s="9">
        <f t="shared" si="10"/>
        <v>0</v>
      </c>
      <c r="BJ73" s="9">
        <v>7</v>
      </c>
      <c r="BK73" s="9">
        <v>0.71</v>
      </c>
      <c r="BL73" s="15">
        <v>7</v>
      </c>
      <c r="BM73" s="14">
        <v>0.33</v>
      </c>
      <c r="BN73" s="8">
        <v>0</v>
      </c>
      <c r="BO73" s="14">
        <v>0</v>
      </c>
      <c r="BP73" s="14">
        <f t="shared" si="11"/>
        <v>0.3</v>
      </c>
      <c r="BQ73" s="14">
        <v>0</v>
      </c>
      <c r="BR73" s="15">
        <v>0</v>
      </c>
      <c r="BS73" s="15">
        <f t="shared" si="29"/>
        <v>0.153</v>
      </c>
      <c r="BT73" s="14">
        <v>0</v>
      </c>
      <c r="BU73" s="14">
        <v>0</v>
      </c>
      <c r="BV73" s="15">
        <v>46.45</v>
      </c>
      <c r="BW73" s="15">
        <v>5.6000000000000001E-2</v>
      </c>
      <c r="BX73" s="15">
        <f t="shared" si="13"/>
        <v>29.500000000000004</v>
      </c>
      <c r="BY73" s="14">
        <f t="shared" si="14"/>
        <v>0</v>
      </c>
      <c r="BZ73" s="14">
        <f t="shared" si="15"/>
        <v>0</v>
      </c>
      <c r="CA73" s="14">
        <f t="shared" si="16"/>
        <v>0</v>
      </c>
      <c r="CB73" s="14">
        <f t="shared" si="17"/>
        <v>29.500000000000004</v>
      </c>
      <c r="CC73" s="15">
        <f t="shared" si="18"/>
        <v>0.71499999999999997</v>
      </c>
      <c r="CD73" s="14">
        <f t="shared" si="19"/>
        <v>21.09</v>
      </c>
      <c r="CE73" s="14">
        <f t="shared" si="20"/>
        <v>0.92500000000000004</v>
      </c>
      <c r="CF73" s="14">
        <f t="shared" si="21"/>
        <v>19.510000000000002</v>
      </c>
      <c r="CG73" s="14">
        <f t="shared" si="22"/>
        <v>157</v>
      </c>
    </row>
    <row r="74" spans="1:85" ht="13.2" x14ac:dyDescent="0.25">
      <c r="A74" s="8">
        <v>1206051</v>
      </c>
      <c r="B74" s="9" t="s">
        <v>169</v>
      </c>
      <c r="C74" s="9" t="s">
        <v>86</v>
      </c>
      <c r="D74" s="9">
        <v>1</v>
      </c>
      <c r="E74" s="9">
        <v>0</v>
      </c>
      <c r="F74" s="9">
        <v>0</v>
      </c>
      <c r="G74" s="9">
        <v>0</v>
      </c>
      <c r="H74" s="10">
        <v>9</v>
      </c>
      <c r="I74" s="9">
        <v>24</v>
      </c>
      <c r="J74" s="11">
        <f t="shared" si="0"/>
        <v>0.1</v>
      </c>
      <c r="K74" s="10">
        <v>183</v>
      </c>
      <c r="L74" s="11">
        <v>0.1</v>
      </c>
      <c r="M74" s="11">
        <v>0</v>
      </c>
      <c r="N74" s="11" t="s">
        <v>87</v>
      </c>
      <c r="O74" s="11">
        <v>2</v>
      </c>
      <c r="P74" s="12" t="s">
        <v>97</v>
      </c>
      <c r="Q74" s="12">
        <v>1</v>
      </c>
      <c r="R74" s="9">
        <v>29</v>
      </c>
      <c r="S74" s="10">
        <v>41</v>
      </c>
      <c r="T74" s="10">
        <v>22.88</v>
      </c>
      <c r="U74" s="10">
        <f t="shared" si="1"/>
        <v>0.4</v>
      </c>
      <c r="V74" s="10">
        <v>150</v>
      </c>
      <c r="W74" s="10">
        <f t="shared" si="2"/>
        <v>0.6</v>
      </c>
      <c r="X74" s="10">
        <v>12</v>
      </c>
      <c r="Y74" s="10">
        <v>12</v>
      </c>
      <c r="Z74" s="10">
        <v>0</v>
      </c>
      <c r="AA74" s="10">
        <v>0</v>
      </c>
      <c r="AB74" s="10">
        <v>0</v>
      </c>
      <c r="AC74" s="9">
        <f t="shared" si="3"/>
        <v>2</v>
      </c>
      <c r="AD74" s="9">
        <v>0</v>
      </c>
      <c r="AE74" s="9">
        <v>0.5</v>
      </c>
      <c r="AF74" s="9">
        <v>1.2500000000000001E-2</v>
      </c>
      <c r="AG74" s="9">
        <v>7</v>
      </c>
      <c r="AH74" s="9">
        <v>3.0000000000000001E-3</v>
      </c>
      <c r="AI74" s="13">
        <v>65</v>
      </c>
      <c r="AJ74" s="9">
        <f t="shared" si="4"/>
        <v>0.8</v>
      </c>
      <c r="AK74" s="9">
        <v>0</v>
      </c>
      <c r="AL74" s="9">
        <v>0</v>
      </c>
      <c r="AM74" s="9">
        <v>0</v>
      </c>
      <c r="AN74" s="9">
        <v>0</v>
      </c>
      <c r="AO74" s="9">
        <f t="shared" si="37"/>
        <v>0</v>
      </c>
      <c r="AP74" s="9">
        <v>0</v>
      </c>
      <c r="AQ74" s="9">
        <f t="shared" si="35"/>
        <v>0.3</v>
      </c>
      <c r="AR74" s="9">
        <v>3.5</v>
      </c>
      <c r="AS74" s="9">
        <v>0</v>
      </c>
      <c r="AT74" s="9">
        <v>0</v>
      </c>
      <c r="AU74" s="9">
        <v>0</v>
      </c>
      <c r="AV74" s="9">
        <v>0</v>
      </c>
      <c r="AW74" s="12">
        <v>26</v>
      </c>
      <c r="AX74" s="9">
        <v>0.3</v>
      </c>
      <c r="AY74" s="9">
        <v>0</v>
      </c>
      <c r="AZ74" s="9">
        <f t="shared" si="38"/>
        <v>0</v>
      </c>
      <c r="BA74" s="9">
        <v>0</v>
      </c>
      <c r="BB74" s="9">
        <v>0</v>
      </c>
      <c r="BC74" s="9">
        <v>0</v>
      </c>
      <c r="BD74" s="9">
        <v>0</v>
      </c>
      <c r="BE74" s="9">
        <v>6.5</v>
      </c>
      <c r="BF74" s="9">
        <f t="shared" si="8"/>
        <v>0.1</v>
      </c>
      <c r="BG74" s="9">
        <f t="shared" si="32"/>
        <v>2</v>
      </c>
      <c r="BH74" s="9">
        <v>7</v>
      </c>
      <c r="BI74" s="9">
        <f t="shared" si="10"/>
        <v>0.3</v>
      </c>
      <c r="BJ74" s="9">
        <v>8</v>
      </c>
      <c r="BK74" s="9">
        <v>0.86</v>
      </c>
      <c r="BL74" s="15">
        <v>6</v>
      </c>
      <c r="BM74" s="14">
        <v>0</v>
      </c>
      <c r="BN74" s="8">
        <v>0</v>
      </c>
      <c r="BO74" s="14">
        <v>0</v>
      </c>
      <c r="BP74" s="14">
        <f t="shared" si="11"/>
        <v>0.3</v>
      </c>
      <c r="BQ74" s="14">
        <v>0</v>
      </c>
      <c r="BR74" s="15">
        <v>0</v>
      </c>
      <c r="BS74" s="15">
        <f t="shared" si="29"/>
        <v>0.14900000000000002</v>
      </c>
      <c r="BT74" s="14">
        <v>0</v>
      </c>
      <c r="BU74" s="14">
        <v>0</v>
      </c>
      <c r="BV74" s="15">
        <v>60.6</v>
      </c>
      <c r="BW74" s="15">
        <v>7.0999999999999994E-2</v>
      </c>
      <c r="BX74" s="15">
        <f t="shared" si="13"/>
        <v>27.500000000000004</v>
      </c>
      <c r="BY74" s="14">
        <f t="shared" si="14"/>
        <v>0</v>
      </c>
      <c r="BZ74" s="14">
        <f t="shared" si="15"/>
        <v>0</v>
      </c>
      <c r="CA74" s="14">
        <f t="shared" si="16"/>
        <v>0</v>
      </c>
      <c r="CB74" s="14">
        <f t="shared" si="17"/>
        <v>27.500000000000004</v>
      </c>
      <c r="CC74" s="15">
        <f t="shared" si="18"/>
        <v>0.71499999999999997</v>
      </c>
      <c r="CD74" s="14">
        <f t="shared" si="19"/>
        <v>19.66</v>
      </c>
      <c r="CE74" s="14">
        <f t="shared" si="20"/>
        <v>0.92500000000000004</v>
      </c>
      <c r="CF74" s="14">
        <f t="shared" si="21"/>
        <v>18.190000000000001</v>
      </c>
      <c r="CG74" s="14">
        <f t="shared" si="22"/>
        <v>165</v>
      </c>
    </row>
    <row r="75" spans="1:85" ht="13.2" x14ac:dyDescent="0.25">
      <c r="A75" s="8">
        <v>1305523</v>
      </c>
      <c r="B75" s="9" t="s">
        <v>170</v>
      </c>
      <c r="C75" s="9" t="s">
        <v>86</v>
      </c>
      <c r="D75" s="9">
        <v>1</v>
      </c>
      <c r="E75" s="9">
        <v>0</v>
      </c>
      <c r="F75" s="9">
        <v>0</v>
      </c>
      <c r="G75" s="9">
        <v>0</v>
      </c>
      <c r="H75" s="10">
        <v>13</v>
      </c>
      <c r="I75" s="9">
        <v>20</v>
      </c>
      <c r="J75" s="11">
        <f t="shared" si="0"/>
        <v>0.2</v>
      </c>
      <c r="K75" s="10">
        <v>289</v>
      </c>
      <c r="L75" s="11">
        <v>0.1</v>
      </c>
      <c r="M75" s="11">
        <v>0</v>
      </c>
      <c r="N75" s="11" t="s">
        <v>87</v>
      </c>
      <c r="O75" s="11">
        <v>3</v>
      </c>
      <c r="P75" s="12" t="s">
        <v>143</v>
      </c>
      <c r="Q75" s="12">
        <v>1</v>
      </c>
      <c r="R75" s="9">
        <v>23</v>
      </c>
      <c r="S75" s="10">
        <v>81</v>
      </c>
      <c r="T75" s="10">
        <v>22.23</v>
      </c>
      <c r="U75" s="10">
        <f t="shared" si="1"/>
        <v>0.4</v>
      </c>
      <c r="V75" s="10">
        <v>133.80000000000001</v>
      </c>
      <c r="W75" s="10">
        <f t="shared" si="2"/>
        <v>0.5</v>
      </c>
      <c r="X75" s="10">
        <v>24</v>
      </c>
      <c r="Y75" s="10">
        <v>19</v>
      </c>
      <c r="Z75" s="10">
        <v>0</v>
      </c>
      <c r="AA75" s="10">
        <v>2</v>
      </c>
      <c r="AB75" s="10">
        <v>0</v>
      </c>
      <c r="AC75" s="9">
        <f t="shared" si="3"/>
        <v>2</v>
      </c>
      <c r="AD75" s="9">
        <v>0</v>
      </c>
      <c r="AE75" s="9">
        <v>0.6</v>
      </c>
      <c r="AF75" s="9">
        <v>1.4999999999999999E-2</v>
      </c>
      <c r="AG75" s="9">
        <v>7</v>
      </c>
      <c r="AH75" s="9">
        <v>3.0000000000000001E-3</v>
      </c>
      <c r="AI75" s="13">
        <v>60</v>
      </c>
      <c r="AJ75" s="9">
        <f t="shared" si="4"/>
        <v>0.7</v>
      </c>
      <c r="AK75" s="9">
        <v>0</v>
      </c>
      <c r="AL75" s="9">
        <v>0</v>
      </c>
      <c r="AM75" s="9">
        <v>0</v>
      </c>
      <c r="AN75" s="9">
        <v>0</v>
      </c>
      <c r="AO75" s="9">
        <f t="shared" si="37"/>
        <v>0</v>
      </c>
      <c r="AP75" s="9">
        <v>0</v>
      </c>
      <c r="AQ75" s="9">
        <f t="shared" si="35"/>
        <v>0.1</v>
      </c>
      <c r="AR75" s="9">
        <v>2.5</v>
      </c>
      <c r="AS75" s="9">
        <v>0</v>
      </c>
      <c r="AT75" s="9">
        <v>0</v>
      </c>
      <c r="AU75" s="9">
        <v>0</v>
      </c>
      <c r="AV75" s="9">
        <v>0</v>
      </c>
      <c r="AW75" s="12">
        <v>29</v>
      </c>
      <c r="AX75" s="9">
        <v>0.3</v>
      </c>
      <c r="AY75" s="9">
        <v>0</v>
      </c>
      <c r="AZ75" s="9">
        <f t="shared" si="38"/>
        <v>0</v>
      </c>
      <c r="BA75" s="9">
        <v>0</v>
      </c>
      <c r="BB75" s="9">
        <v>0</v>
      </c>
      <c r="BC75" s="9">
        <v>0</v>
      </c>
      <c r="BD75" s="9">
        <v>0</v>
      </c>
      <c r="BE75" s="9">
        <v>6.5</v>
      </c>
      <c r="BF75" s="9">
        <f t="shared" si="8"/>
        <v>0.1</v>
      </c>
      <c r="BG75" s="9">
        <f t="shared" si="32"/>
        <v>2</v>
      </c>
      <c r="BH75" s="9">
        <v>6</v>
      </c>
      <c r="BI75" s="9">
        <f t="shared" si="10"/>
        <v>0</v>
      </c>
      <c r="BJ75" s="9">
        <v>6</v>
      </c>
      <c r="BK75" s="9">
        <v>0.56999999999999995</v>
      </c>
      <c r="BL75" s="15">
        <v>7</v>
      </c>
      <c r="BM75" s="14">
        <v>0.33</v>
      </c>
      <c r="BN75" s="8">
        <v>0</v>
      </c>
      <c r="BO75" s="14">
        <v>0</v>
      </c>
      <c r="BP75" s="14">
        <f t="shared" si="11"/>
        <v>0.3</v>
      </c>
      <c r="BQ75" s="14">
        <v>0</v>
      </c>
      <c r="BR75" s="15">
        <v>0</v>
      </c>
      <c r="BS75" s="15">
        <f t="shared" si="29"/>
        <v>0.13700000000000001</v>
      </c>
      <c r="BT75" s="14">
        <v>0</v>
      </c>
      <c r="BU75" s="14">
        <v>0</v>
      </c>
      <c r="BV75" s="15">
        <v>38.15</v>
      </c>
      <c r="BW75" s="15">
        <v>4.7E-2</v>
      </c>
      <c r="BX75" s="15">
        <f t="shared" si="13"/>
        <v>25.999999999999996</v>
      </c>
      <c r="BY75" s="14">
        <f t="shared" si="14"/>
        <v>0</v>
      </c>
      <c r="BZ75" s="14">
        <f t="shared" si="15"/>
        <v>0</v>
      </c>
      <c r="CA75" s="14">
        <f t="shared" si="16"/>
        <v>0</v>
      </c>
      <c r="CB75" s="14">
        <f t="shared" si="17"/>
        <v>25.999999999999996</v>
      </c>
      <c r="CC75" s="15">
        <f t="shared" si="18"/>
        <v>0.71399999999999997</v>
      </c>
      <c r="CD75" s="14">
        <f t="shared" si="19"/>
        <v>18.559999999999999</v>
      </c>
      <c r="CE75" s="14">
        <f t="shared" si="20"/>
        <v>0.97499999999999998</v>
      </c>
      <c r="CF75" s="14">
        <f t="shared" si="21"/>
        <v>18.100000000000001</v>
      </c>
      <c r="CG75" s="14">
        <f t="shared" si="22"/>
        <v>169</v>
      </c>
    </row>
    <row r="76" spans="1:85" ht="13.2" x14ac:dyDescent="0.25">
      <c r="A76" s="8">
        <v>592273</v>
      </c>
      <c r="B76" s="9" t="s">
        <v>171</v>
      </c>
      <c r="C76" s="9" t="s">
        <v>86</v>
      </c>
      <c r="D76" s="9">
        <v>1</v>
      </c>
      <c r="E76" s="9">
        <v>0</v>
      </c>
      <c r="F76" s="9">
        <v>0</v>
      </c>
      <c r="G76" s="9">
        <v>0</v>
      </c>
      <c r="H76" s="10">
        <v>7</v>
      </c>
      <c r="I76" s="9">
        <v>22</v>
      </c>
      <c r="J76" s="11">
        <f t="shared" si="0"/>
        <v>0.1</v>
      </c>
      <c r="K76" s="10">
        <v>140</v>
      </c>
      <c r="L76" s="11">
        <v>0.1</v>
      </c>
      <c r="M76" s="11">
        <v>0</v>
      </c>
      <c r="N76" s="11" t="s">
        <v>90</v>
      </c>
      <c r="O76" s="11">
        <v>1</v>
      </c>
      <c r="P76" s="12" t="s">
        <v>88</v>
      </c>
      <c r="Q76" s="12">
        <v>0</v>
      </c>
      <c r="R76" s="9">
        <v>23</v>
      </c>
      <c r="S76" s="10">
        <v>62</v>
      </c>
      <c r="T76" s="10">
        <v>23.33</v>
      </c>
      <c r="U76" s="10">
        <f t="shared" si="1"/>
        <v>0.4</v>
      </c>
      <c r="V76" s="10">
        <v>177.22</v>
      </c>
      <c r="W76" s="10">
        <f t="shared" si="2"/>
        <v>0.7</v>
      </c>
      <c r="X76" s="10">
        <v>12</v>
      </c>
      <c r="Y76" s="10">
        <v>10</v>
      </c>
      <c r="Z76" s="10">
        <v>0</v>
      </c>
      <c r="AA76" s="10">
        <v>1</v>
      </c>
      <c r="AB76" s="10">
        <v>0</v>
      </c>
      <c r="AC76" s="9">
        <f t="shared" si="3"/>
        <v>2</v>
      </c>
      <c r="AD76" s="9">
        <v>0</v>
      </c>
      <c r="AE76" s="9">
        <v>0.6</v>
      </c>
      <c r="AF76" s="9">
        <v>1.4999999999999999E-2</v>
      </c>
      <c r="AG76" s="9">
        <v>6.5</v>
      </c>
      <c r="AH76" s="9">
        <v>3.0000000000000001E-3</v>
      </c>
      <c r="AI76" s="13">
        <v>45</v>
      </c>
      <c r="AJ76" s="9">
        <f t="shared" si="4"/>
        <v>0.5</v>
      </c>
      <c r="AK76" s="9">
        <v>0</v>
      </c>
      <c r="AL76" s="9">
        <v>0</v>
      </c>
      <c r="AM76" s="9">
        <v>0</v>
      </c>
      <c r="AN76" s="9">
        <v>0</v>
      </c>
      <c r="AO76" s="9">
        <f t="shared" si="37"/>
        <v>0</v>
      </c>
      <c r="AP76" s="9">
        <v>0</v>
      </c>
      <c r="AQ76" s="9">
        <f t="shared" si="35"/>
        <v>0</v>
      </c>
      <c r="AR76" s="9">
        <v>2</v>
      </c>
      <c r="AS76" s="9">
        <v>0</v>
      </c>
      <c r="AT76" s="9">
        <v>0</v>
      </c>
      <c r="AU76" s="9">
        <v>0</v>
      </c>
      <c r="AV76" s="9">
        <v>0</v>
      </c>
      <c r="AW76" s="12">
        <v>22</v>
      </c>
      <c r="AX76" s="9">
        <v>0.3</v>
      </c>
      <c r="AY76" s="9">
        <v>0</v>
      </c>
      <c r="AZ76" s="9">
        <f t="shared" si="38"/>
        <v>0</v>
      </c>
      <c r="BA76" s="9">
        <v>0</v>
      </c>
      <c r="BB76" s="9">
        <v>0</v>
      </c>
      <c r="BC76" s="9">
        <v>0</v>
      </c>
      <c r="BD76" s="9">
        <v>0</v>
      </c>
      <c r="BE76" s="9">
        <v>7.5</v>
      </c>
      <c r="BF76" s="9">
        <f t="shared" si="8"/>
        <v>0.4</v>
      </c>
      <c r="BG76" s="9">
        <f t="shared" si="32"/>
        <v>2</v>
      </c>
      <c r="BH76" s="9">
        <v>7</v>
      </c>
      <c r="BI76" s="9">
        <f t="shared" si="10"/>
        <v>0.3</v>
      </c>
      <c r="BJ76" s="9">
        <v>8</v>
      </c>
      <c r="BK76" s="9">
        <v>0.86</v>
      </c>
      <c r="BL76" s="15">
        <v>6</v>
      </c>
      <c r="BM76" s="14">
        <v>0</v>
      </c>
      <c r="BN76" s="8">
        <v>0</v>
      </c>
      <c r="BO76" s="14">
        <v>0</v>
      </c>
      <c r="BP76" s="14">
        <f t="shared" si="11"/>
        <v>0.4</v>
      </c>
      <c r="BQ76" s="14">
        <v>0</v>
      </c>
      <c r="BR76" s="15">
        <v>0</v>
      </c>
      <c r="BS76" s="15">
        <f t="shared" si="29"/>
        <v>0.13700000000000001</v>
      </c>
      <c r="BT76" s="14">
        <v>0</v>
      </c>
      <c r="BU76" s="14">
        <v>0</v>
      </c>
      <c r="BV76" s="15">
        <v>63</v>
      </c>
      <c r="BW76" s="15">
        <v>7.3999999999999996E-2</v>
      </c>
      <c r="BX76" s="15">
        <f t="shared" si="13"/>
        <v>36.000000000000007</v>
      </c>
      <c r="BY76" s="14">
        <f t="shared" si="14"/>
        <v>0</v>
      </c>
      <c r="BZ76" s="14">
        <f t="shared" si="15"/>
        <v>0</v>
      </c>
      <c r="CA76" s="14">
        <f t="shared" si="16"/>
        <v>0</v>
      </c>
      <c r="CB76" s="14">
        <f t="shared" si="17"/>
        <v>36.000000000000007</v>
      </c>
      <c r="CC76" s="15">
        <f t="shared" si="18"/>
        <v>0.71399999999999997</v>
      </c>
      <c r="CD76" s="14">
        <f t="shared" si="19"/>
        <v>25.7</v>
      </c>
      <c r="CE76" s="14">
        <f t="shared" si="20"/>
        <v>1</v>
      </c>
      <c r="CF76" s="14">
        <f t="shared" si="21"/>
        <v>25.7</v>
      </c>
      <c r="CG76" s="14">
        <f t="shared" si="22"/>
        <v>124</v>
      </c>
    </row>
    <row r="77" spans="1:85" ht="13.2" x14ac:dyDescent="0.25">
      <c r="A77" s="8">
        <v>959767</v>
      </c>
      <c r="B77" s="9" t="s">
        <v>172</v>
      </c>
      <c r="C77" s="9" t="s">
        <v>86</v>
      </c>
      <c r="D77" s="9">
        <v>1</v>
      </c>
      <c r="E77" s="9">
        <v>1</v>
      </c>
      <c r="F77" s="9">
        <v>0</v>
      </c>
      <c r="G77" s="9">
        <v>0</v>
      </c>
      <c r="H77" s="10">
        <v>8</v>
      </c>
      <c r="I77" s="9">
        <v>21</v>
      </c>
      <c r="J77" s="11">
        <f t="shared" si="0"/>
        <v>0.1</v>
      </c>
      <c r="K77" s="10">
        <v>76</v>
      </c>
      <c r="L77" s="11">
        <v>0.1</v>
      </c>
      <c r="M77" s="11">
        <v>0.1</v>
      </c>
      <c r="N77" s="11" t="s">
        <v>90</v>
      </c>
      <c r="O77" s="11">
        <v>1</v>
      </c>
      <c r="P77" s="12" t="s">
        <v>88</v>
      </c>
      <c r="Q77" s="12">
        <v>0</v>
      </c>
      <c r="R77" s="9">
        <v>26</v>
      </c>
      <c r="S77" s="10">
        <v>38</v>
      </c>
      <c r="T77" s="10">
        <v>10.86</v>
      </c>
      <c r="U77" s="10">
        <f t="shared" si="1"/>
        <v>0.2</v>
      </c>
      <c r="V77" s="10">
        <v>107.04</v>
      </c>
      <c r="W77" s="10">
        <f t="shared" si="2"/>
        <v>0.4</v>
      </c>
      <c r="X77" s="10">
        <v>9</v>
      </c>
      <c r="Y77" s="10">
        <v>0</v>
      </c>
      <c r="Z77" s="10">
        <v>0</v>
      </c>
      <c r="AA77" s="10">
        <v>0</v>
      </c>
      <c r="AB77" s="10">
        <v>0</v>
      </c>
      <c r="AC77" s="9">
        <f t="shared" si="3"/>
        <v>2</v>
      </c>
      <c r="AD77" s="9">
        <v>0</v>
      </c>
      <c r="AE77" s="9">
        <v>0.6</v>
      </c>
      <c r="AF77" s="9">
        <v>1.4999999999999999E-2</v>
      </c>
      <c r="AG77" s="9">
        <v>6</v>
      </c>
      <c r="AH77" s="9">
        <v>3.0000000000000001E-3</v>
      </c>
      <c r="AI77" s="13">
        <v>45</v>
      </c>
      <c r="AJ77" s="9">
        <f t="shared" si="4"/>
        <v>0.5</v>
      </c>
      <c r="AK77" s="9">
        <v>2</v>
      </c>
      <c r="AL77" s="9">
        <v>16</v>
      </c>
      <c r="AM77" s="9">
        <v>10.88</v>
      </c>
      <c r="AN77" s="9">
        <v>0.2</v>
      </c>
      <c r="AO77" s="9">
        <v>0.9</v>
      </c>
      <c r="AP77" s="9">
        <v>8.5</v>
      </c>
      <c r="AQ77" s="9">
        <f t="shared" si="35"/>
        <v>0.1</v>
      </c>
      <c r="AR77" s="9">
        <v>2.5</v>
      </c>
      <c r="AS77" s="9">
        <v>0.5</v>
      </c>
      <c r="AT77" s="9">
        <v>0.33</v>
      </c>
      <c r="AU77" s="9">
        <v>34</v>
      </c>
      <c r="AV77" s="9">
        <v>0.5</v>
      </c>
      <c r="AW77" s="12">
        <v>18</v>
      </c>
      <c r="AX77" s="9">
        <v>0.2</v>
      </c>
      <c r="AY77" s="9">
        <v>0</v>
      </c>
      <c r="AZ77" s="9">
        <v>0</v>
      </c>
      <c r="BA77" s="9">
        <v>0</v>
      </c>
      <c r="BB77" s="9">
        <v>0</v>
      </c>
      <c r="BC77" s="9">
        <v>16</v>
      </c>
      <c r="BD77" s="9">
        <v>87</v>
      </c>
      <c r="BE77" s="9">
        <v>7.5</v>
      </c>
      <c r="BF77" s="9">
        <f t="shared" si="8"/>
        <v>0.4</v>
      </c>
      <c r="BG77" s="9">
        <f t="shared" si="32"/>
        <v>2</v>
      </c>
      <c r="BH77" s="9">
        <v>6</v>
      </c>
      <c r="BI77" s="9">
        <f t="shared" si="10"/>
        <v>0</v>
      </c>
      <c r="BJ77" s="9">
        <v>7</v>
      </c>
      <c r="BK77" s="9">
        <v>0.71</v>
      </c>
      <c r="BL77" s="15">
        <v>6</v>
      </c>
      <c r="BM77" s="14">
        <v>0</v>
      </c>
      <c r="BN77" s="8">
        <v>0</v>
      </c>
      <c r="BO77" s="14">
        <v>0</v>
      </c>
      <c r="BP77" s="14">
        <f t="shared" si="11"/>
        <v>0.3</v>
      </c>
      <c r="BQ77" s="14">
        <v>0.2</v>
      </c>
      <c r="BR77" s="15">
        <v>0</v>
      </c>
      <c r="BS77" s="15">
        <f t="shared" si="29"/>
        <v>0.17200000000000001</v>
      </c>
      <c r="BT77" s="14">
        <v>0</v>
      </c>
      <c r="BU77" s="14">
        <v>0</v>
      </c>
      <c r="BV77" s="15">
        <v>50.75</v>
      </c>
      <c r="BW77" s="15">
        <v>0.06</v>
      </c>
      <c r="BX77" s="15">
        <f t="shared" si="13"/>
        <v>26.5</v>
      </c>
      <c r="BY77" s="14">
        <f t="shared" si="14"/>
        <v>35.400000000000006</v>
      </c>
      <c r="BZ77" s="14">
        <f t="shared" si="15"/>
        <v>0</v>
      </c>
      <c r="CA77" s="14">
        <f t="shared" si="16"/>
        <v>0</v>
      </c>
      <c r="CB77" s="14">
        <f t="shared" si="17"/>
        <v>61.900000000000006</v>
      </c>
      <c r="CC77" s="15">
        <f t="shared" si="18"/>
        <v>0.71699999999999997</v>
      </c>
      <c r="CD77" s="14">
        <f t="shared" si="19"/>
        <v>44.38</v>
      </c>
      <c r="CE77" s="14">
        <f t="shared" si="20"/>
        <v>0.95499999999999996</v>
      </c>
      <c r="CF77" s="14">
        <f t="shared" si="21"/>
        <v>42.38</v>
      </c>
      <c r="CG77" s="14">
        <f t="shared" si="22"/>
        <v>43</v>
      </c>
    </row>
    <row r="78" spans="1:85" ht="13.2" x14ac:dyDescent="0.25">
      <c r="A78" s="8">
        <v>1159711</v>
      </c>
      <c r="B78" s="9" t="s">
        <v>173</v>
      </c>
      <c r="C78" s="9" t="s">
        <v>86</v>
      </c>
      <c r="D78" s="9">
        <v>1</v>
      </c>
      <c r="E78" s="9">
        <v>0</v>
      </c>
      <c r="F78" s="9">
        <v>0</v>
      </c>
      <c r="G78" s="9">
        <v>0</v>
      </c>
      <c r="H78" s="10">
        <v>9</v>
      </c>
      <c r="I78" s="9">
        <v>10</v>
      </c>
      <c r="J78" s="11">
        <f t="shared" si="0"/>
        <v>0.1</v>
      </c>
      <c r="K78" s="10">
        <v>189</v>
      </c>
      <c r="L78" s="11">
        <v>0.1</v>
      </c>
      <c r="M78" s="11">
        <v>0</v>
      </c>
      <c r="N78" s="11" t="s">
        <v>90</v>
      </c>
      <c r="O78" s="11">
        <v>2</v>
      </c>
      <c r="P78" s="12" t="s">
        <v>88</v>
      </c>
      <c r="Q78" s="12">
        <v>0</v>
      </c>
      <c r="R78" s="9">
        <v>24</v>
      </c>
      <c r="S78" s="10">
        <v>61</v>
      </c>
      <c r="T78" s="10">
        <v>27</v>
      </c>
      <c r="U78" s="10">
        <f t="shared" si="1"/>
        <v>0.5</v>
      </c>
      <c r="V78" s="10">
        <v>167.26</v>
      </c>
      <c r="W78" s="10">
        <f t="shared" si="2"/>
        <v>0.7</v>
      </c>
      <c r="X78" s="10">
        <v>10</v>
      </c>
      <c r="Y78" s="10">
        <v>15</v>
      </c>
      <c r="Z78" s="10">
        <v>0</v>
      </c>
      <c r="AA78" s="10">
        <v>1</v>
      </c>
      <c r="AB78" s="10">
        <v>0</v>
      </c>
      <c r="AC78" s="9">
        <f t="shared" si="3"/>
        <v>2</v>
      </c>
      <c r="AD78" s="9">
        <v>0</v>
      </c>
      <c r="AE78" s="9">
        <v>0.6</v>
      </c>
      <c r="AF78" s="9">
        <v>1.4999999999999999E-2</v>
      </c>
      <c r="AG78" s="9">
        <v>6.5</v>
      </c>
      <c r="AH78" s="9">
        <v>1.0999999999999999E-2</v>
      </c>
      <c r="AI78" s="13">
        <v>45</v>
      </c>
      <c r="AJ78" s="9">
        <f t="shared" si="4"/>
        <v>0.5</v>
      </c>
      <c r="AK78" s="9">
        <v>0</v>
      </c>
      <c r="AL78" s="9">
        <v>0</v>
      </c>
      <c r="AM78" s="9">
        <v>0</v>
      </c>
      <c r="AN78" s="9">
        <v>0</v>
      </c>
      <c r="AO78" s="9">
        <f t="shared" ref="AO78:AO80" si="39">ROUND((AP78 - MIN($AP$2:$AP2050)) / (MAX($AP$2:$AP2050) - MIN($AP$2:$AP2050)), 1)</f>
        <v>0</v>
      </c>
      <c r="AP78" s="9">
        <v>0</v>
      </c>
      <c r="AQ78" s="9">
        <f t="shared" si="35"/>
        <v>0</v>
      </c>
      <c r="AR78" s="9">
        <v>2</v>
      </c>
      <c r="AS78" s="9">
        <v>0</v>
      </c>
      <c r="AT78" s="9">
        <v>0</v>
      </c>
      <c r="AU78" s="9">
        <v>0</v>
      </c>
      <c r="AV78" s="9">
        <v>0</v>
      </c>
      <c r="AW78" s="12">
        <v>22</v>
      </c>
      <c r="AX78" s="9">
        <v>0.2</v>
      </c>
      <c r="AY78" s="9">
        <v>0</v>
      </c>
      <c r="AZ78" s="9">
        <f t="shared" ref="AZ78:AZ80" si="40">(AP78 - MIN($AP$2:$AP$964)) / (MAX($AP$2:$AP$964) - MIN($AP$2:$AP$964))</f>
        <v>0</v>
      </c>
      <c r="BA78" s="9">
        <v>0</v>
      </c>
      <c r="BB78" s="9">
        <v>0</v>
      </c>
      <c r="BC78" s="9">
        <v>0</v>
      </c>
      <c r="BD78" s="9">
        <v>0</v>
      </c>
      <c r="BE78" s="9">
        <v>7</v>
      </c>
      <c r="BF78" s="9">
        <f t="shared" si="8"/>
        <v>0.3</v>
      </c>
      <c r="BG78" s="9">
        <f t="shared" si="32"/>
        <v>2</v>
      </c>
      <c r="BH78" s="9">
        <v>7</v>
      </c>
      <c r="BI78" s="9">
        <f t="shared" si="10"/>
        <v>0.3</v>
      </c>
      <c r="BJ78" s="9">
        <v>5</v>
      </c>
      <c r="BK78" s="9">
        <v>0.43</v>
      </c>
      <c r="BL78" s="15">
        <v>6</v>
      </c>
      <c r="BM78" s="14">
        <v>0</v>
      </c>
      <c r="BN78" s="8">
        <v>0</v>
      </c>
      <c r="BO78" s="14">
        <v>0</v>
      </c>
      <c r="BP78" s="14">
        <f t="shared" si="11"/>
        <v>0.4</v>
      </c>
      <c r="BQ78" s="14">
        <v>0</v>
      </c>
      <c r="BR78" s="15">
        <v>0</v>
      </c>
      <c r="BS78" s="15">
        <f t="shared" si="29"/>
        <v>0.129</v>
      </c>
      <c r="BT78" s="14">
        <v>0</v>
      </c>
      <c r="BU78" s="14">
        <v>0</v>
      </c>
      <c r="BV78" s="15">
        <v>40.549999999999997</v>
      </c>
      <c r="BW78" s="15">
        <v>4.9000000000000002E-2</v>
      </c>
      <c r="BX78" s="15">
        <f t="shared" si="13"/>
        <v>34.000000000000007</v>
      </c>
      <c r="BY78" s="14">
        <f t="shared" si="14"/>
        <v>0</v>
      </c>
      <c r="BZ78" s="14">
        <f t="shared" si="15"/>
        <v>0</v>
      </c>
      <c r="CA78" s="14">
        <f t="shared" si="16"/>
        <v>0</v>
      </c>
      <c r="CB78" s="14">
        <f t="shared" si="17"/>
        <v>34.000000000000007</v>
      </c>
      <c r="CC78" s="15">
        <f t="shared" si="18"/>
        <v>0.71299999999999997</v>
      </c>
      <c r="CD78" s="14">
        <f t="shared" si="19"/>
        <v>24.24</v>
      </c>
      <c r="CE78" s="14">
        <f t="shared" si="20"/>
        <v>1</v>
      </c>
      <c r="CF78" s="14">
        <f t="shared" si="21"/>
        <v>24.24</v>
      </c>
      <c r="CG78" s="14">
        <f t="shared" si="22"/>
        <v>131</v>
      </c>
    </row>
    <row r="79" spans="1:85" ht="13.2" x14ac:dyDescent="0.25">
      <c r="A79" s="8">
        <v>460793</v>
      </c>
      <c r="B79" s="9" t="s">
        <v>174</v>
      </c>
      <c r="C79" s="9" t="s">
        <v>86</v>
      </c>
      <c r="D79" s="9">
        <v>1</v>
      </c>
      <c r="E79" s="9">
        <v>0</v>
      </c>
      <c r="F79" s="9">
        <v>0</v>
      </c>
      <c r="G79" s="9">
        <v>0</v>
      </c>
      <c r="H79" s="10">
        <v>6</v>
      </c>
      <c r="I79" s="9">
        <v>19</v>
      </c>
      <c r="J79" s="11">
        <f t="shared" si="0"/>
        <v>0.1</v>
      </c>
      <c r="K79" s="10">
        <v>110</v>
      </c>
      <c r="L79" s="11">
        <v>0.1</v>
      </c>
      <c r="M79" s="11">
        <v>0</v>
      </c>
      <c r="N79" s="11" t="s">
        <v>90</v>
      </c>
      <c r="O79" s="11">
        <v>2</v>
      </c>
      <c r="P79" s="12" t="s">
        <v>88</v>
      </c>
      <c r="Q79" s="12">
        <v>0</v>
      </c>
      <c r="R79" s="9">
        <v>25</v>
      </c>
      <c r="S79" s="10">
        <v>36</v>
      </c>
      <c r="T79" s="10">
        <v>18.329999999999998</v>
      </c>
      <c r="U79" s="10">
        <f t="shared" si="1"/>
        <v>0.3</v>
      </c>
      <c r="V79" s="10">
        <v>125</v>
      </c>
      <c r="W79" s="10">
        <f t="shared" si="2"/>
        <v>0.5</v>
      </c>
      <c r="X79" s="10">
        <v>16</v>
      </c>
      <c r="Y79" s="10">
        <v>2</v>
      </c>
      <c r="Z79" s="10">
        <v>0</v>
      </c>
      <c r="AA79" s="10">
        <v>0</v>
      </c>
      <c r="AB79" s="10">
        <v>0</v>
      </c>
      <c r="AC79" s="9">
        <f t="shared" si="3"/>
        <v>2</v>
      </c>
      <c r="AD79" s="9">
        <v>0</v>
      </c>
      <c r="AE79" s="9">
        <v>0.6</v>
      </c>
      <c r="AF79" s="9">
        <v>1.4999999999999999E-2</v>
      </c>
      <c r="AG79" s="9">
        <v>7</v>
      </c>
      <c r="AH79" s="9">
        <v>1.2E-2</v>
      </c>
      <c r="AI79" s="13">
        <v>45</v>
      </c>
      <c r="AJ79" s="9">
        <f t="shared" si="4"/>
        <v>0.5</v>
      </c>
      <c r="AK79" s="9">
        <v>0</v>
      </c>
      <c r="AL79" s="9">
        <v>0</v>
      </c>
      <c r="AM79" s="9">
        <v>0</v>
      </c>
      <c r="AN79" s="9">
        <v>0</v>
      </c>
      <c r="AO79" s="9">
        <f t="shared" si="39"/>
        <v>0</v>
      </c>
      <c r="AP79" s="9">
        <v>0</v>
      </c>
      <c r="AQ79" s="9">
        <f t="shared" si="35"/>
        <v>0.1</v>
      </c>
      <c r="AR79" s="9">
        <v>2.5</v>
      </c>
      <c r="AS79" s="9">
        <v>0</v>
      </c>
      <c r="AT79" s="9">
        <v>0</v>
      </c>
      <c r="AU79" s="9">
        <v>0</v>
      </c>
      <c r="AV79" s="9">
        <v>0</v>
      </c>
      <c r="AW79" s="12">
        <v>20</v>
      </c>
      <c r="AX79" s="9">
        <v>0.2</v>
      </c>
      <c r="AY79" s="9">
        <v>0</v>
      </c>
      <c r="AZ79" s="9">
        <f t="shared" si="40"/>
        <v>0</v>
      </c>
      <c r="BA79" s="9">
        <v>0</v>
      </c>
      <c r="BB79" s="9">
        <v>0</v>
      </c>
      <c r="BC79" s="9">
        <v>0</v>
      </c>
      <c r="BD79" s="9">
        <v>0</v>
      </c>
      <c r="BE79" s="9">
        <v>7.5</v>
      </c>
      <c r="BF79" s="9">
        <f t="shared" si="8"/>
        <v>0.4</v>
      </c>
      <c r="BG79" s="9">
        <f t="shared" si="32"/>
        <v>2</v>
      </c>
      <c r="BH79" s="9">
        <v>6</v>
      </c>
      <c r="BI79" s="9">
        <f t="shared" si="10"/>
        <v>0</v>
      </c>
      <c r="BJ79" s="9">
        <v>5</v>
      </c>
      <c r="BK79" s="9">
        <v>0.43</v>
      </c>
      <c r="BL79" s="15">
        <v>6</v>
      </c>
      <c r="BM79" s="14">
        <v>0</v>
      </c>
      <c r="BN79" s="8">
        <v>0</v>
      </c>
      <c r="BO79" s="14">
        <v>0</v>
      </c>
      <c r="BP79" s="14">
        <f t="shared" si="11"/>
        <v>0.3</v>
      </c>
      <c r="BQ79" s="14">
        <v>0</v>
      </c>
      <c r="BR79" s="15">
        <v>0</v>
      </c>
      <c r="BS79" s="15">
        <f t="shared" si="29"/>
        <v>0.13700000000000001</v>
      </c>
      <c r="BT79" s="14">
        <v>0</v>
      </c>
      <c r="BU79" s="14">
        <v>0</v>
      </c>
      <c r="BV79" s="15">
        <v>37.35</v>
      </c>
      <c r="BW79" s="15">
        <v>4.5999999999999999E-2</v>
      </c>
      <c r="BX79" s="15">
        <f t="shared" si="13"/>
        <v>28.000000000000004</v>
      </c>
      <c r="BY79" s="14">
        <f t="shared" si="14"/>
        <v>0</v>
      </c>
      <c r="BZ79" s="14">
        <f t="shared" si="15"/>
        <v>0</v>
      </c>
      <c r="CA79" s="14">
        <f t="shared" si="16"/>
        <v>0</v>
      </c>
      <c r="CB79" s="14">
        <f t="shared" si="17"/>
        <v>28.000000000000004</v>
      </c>
      <c r="CC79" s="15">
        <f t="shared" si="18"/>
        <v>0.71399999999999997</v>
      </c>
      <c r="CD79" s="14">
        <f t="shared" si="19"/>
        <v>19.989999999999998</v>
      </c>
      <c r="CE79" s="14">
        <f t="shared" si="20"/>
        <v>0.97499999999999998</v>
      </c>
      <c r="CF79" s="14">
        <f t="shared" si="21"/>
        <v>19.489999999999998</v>
      </c>
      <c r="CG79" s="14">
        <f t="shared" si="22"/>
        <v>158</v>
      </c>
    </row>
    <row r="80" spans="1:85" ht="13.2" x14ac:dyDescent="0.25">
      <c r="A80" s="8">
        <v>1212213</v>
      </c>
      <c r="B80" s="9" t="s">
        <v>175</v>
      </c>
      <c r="C80" s="9" t="s">
        <v>86</v>
      </c>
      <c r="D80" s="9">
        <v>1</v>
      </c>
      <c r="E80" s="9">
        <v>0</v>
      </c>
      <c r="F80" s="9">
        <v>0</v>
      </c>
      <c r="G80" s="9">
        <v>0</v>
      </c>
      <c r="H80" s="10">
        <v>7</v>
      </c>
      <c r="I80" s="9">
        <v>12</v>
      </c>
      <c r="J80" s="11">
        <f t="shared" si="0"/>
        <v>0.1</v>
      </c>
      <c r="K80" s="10">
        <v>163</v>
      </c>
      <c r="L80" s="11">
        <v>0.1</v>
      </c>
      <c r="M80" s="11">
        <v>0</v>
      </c>
      <c r="N80" s="11" t="s">
        <v>90</v>
      </c>
      <c r="O80" s="11">
        <v>2</v>
      </c>
      <c r="P80" s="12" t="s">
        <v>88</v>
      </c>
      <c r="Q80" s="12">
        <v>0</v>
      </c>
      <c r="R80" s="9">
        <v>21</v>
      </c>
      <c r="S80" s="10">
        <v>54</v>
      </c>
      <c r="T80" s="10">
        <v>23.29</v>
      </c>
      <c r="U80" s="10">
        <f t="shared" si="1"/>
        <v>0.4</v>
      </c>
      <c r="V80" s="10">
        <v>155.24</v>
      </c>
      <c r="W80" s="10">
        <f t="shared" si="2"/>
        <v>0.6</v>
      </c>
      <c r="X80" s="10">
        <v>16</v>
      </c>
      <c r="Y80" s="10">
        <v>8</v>
      </c>
      <c r="Z80" s="10">
        <v>0</v>
      </c>
      <c r="AA80" s="10">
        <v>1</v>
      </c>
      <c r="AB80" s="10">
        <v>0</v>
      </c>
      <c r="AC80" s="9">
        <f t="shared" si="3"/>
        <v>2</v>
      </c>
      <c r="AD80" s="9">
        <v>0</v>
      </c>
      <c r="AE80" s="9">
        <v>0.5</v>
      </c>
      <c r="AF80" s="9">
        <v>1.2500000000000001E-2</v>
      </c>
      <c r="AG80" s="9">
        <v>6</v>
      </c>
      <c r="AH80" s="9">
        <v>1.0999999999999999E-2</v>
      </c>
      <c r="AI80" s="13">
        <v>45</v>
      </c>
      <c r="AJ80" s="9">
        <f t="shared" si="4"/>
        <v>0.5</v>
      </c>
      <c r="AK80" s="9">
        <v>0</v>
      </c>
      <c r="AL80" s="9">
        <v>0</v>
      </c>
      <c r="AM80" s="9">
        <v>0</v>
      </c>
      <c r="AN80" s="9">
        <v>0</v>
      </c>
      <c r="AO80" s="9">
        <f t="shared" si="39"/>
        <v>0</v>
      </c>
      <c r="AP80" s="9">
        <v>0</v>
      </c>
      <c r="AQ80" s="9">
        <f t="shared" si="35"/>
        <v>0</v>
      </c>
      <c r="AR80" s="9">
        <v>2</v>
      </c>
      <c r="AS80" s="9">
        <v>0</v>
      </c>
      <c r="AT80" s="9">
        <v>0</v>
      </c>
      <c r="AU80" s="9">
        <v>0</v>
      </c>
      <c r="AV80" s="9">
        <v>0</v>
      </c>
      <c r="AW80" s="12">
        <v>18</v>
      </c>
      <c r="AX80" s="9">
        <v>0.2</v>
      </c>
      <c r="AY80" s="9">
        <v>0</v>
      </c>
      <c r="AZ80" s="9">
        <f t="shared" si="40"/>
        <v>0</v>
      </c>
      <c r="BA80" s="9">
        <v>0</v>
      </c>
      <c r="BB80" s="9">
        <v>0</v>
      </c>
      <c r="BC80" s="9">
        <v>0</v>
      </c>
      <c r="BD80" s="9">
        <v>0</v>
      </c>
      <c r="BE80" s="9">
        <v>7.5</v>
      </c>
      <c r="BF80" s="9">
        <f t="shared" si="8"/>
        <v>0.4</v>
      </c>
      <c r="BG80" s="9">
        <f t="shared" si="32"/>
        <v>2</v>
      </c>
      <c r="BH80" s="9">
        <v>6</v>
      </c>
      <c r="BI80" s="9">
        <f t="shared" si="10"/>
        <v>0</v>
      </c>
      <c r="BJ80" s="9">
        <v>5</v>
      </c>
      <c r="BK80" s="9">
        <v>0.43</v>
      </c>
      <c r="BL80" s="15">
        <v>6</v>
      </c>
      <c r="BM80" s="14">
        <v>0</v>
      </c>
      <c r="BN80" s="8">
        <v>0</v>
      </c>
      <c r="BO80" s="14">
        <v>0</v>
      </c>
      <c r="BP80" s="14">
        <f t="shared" si="11"/>
        <v>0.4</v>
      </c>
      <c r="BQ80" s="14">
        <v>0</v>
      </c>
      <c r="BR80" s="15">
        <v>0</v>
      </c>
      <c r="BS80" s="15">
        <f t="shared" si="29"/>
        <v>0.13700000000000001</v>
      </c>
      <c r="BT80" s="14">
        <v>0</v>
      </c>
      <c r="BU80" s="14">
        <v>0</v>
      </c>
      <c r="BV80" s="15">
        <v>37.35</v>
      </c>
      <c r="BW80" s="15">
        <v>4.5999999999999999E-2</v>
      </c>
      <c r="BX80" s="15">
        <f t="shared" si="13"/>
        <v>33.500000000000007</v>
      </c>
      <c r="BY80" s="14">
        <f t="shared" si="14"/>
        <v>0</v>
      </c>
      <c r="BZ80" s="14">
        <f t="shared" si="15"/>
        <v>0</v>
      </c>
      <c r="CA80" s="14">
        <f t="shared" si="16"/>
        <v>0</v>
      </c>
      <c r="CB80" s="14">
        <f t="shared" si="17"/>
        <v>33.500000000000007</v>
      </c>
      <c r="CC80" s="15">
        <f t="shared" si="18"/>
        <v>0.71399999999999997</v>
      </c>
      <c r="CD80" s="14">
        <f t="shared" si="19"/>
        <v>23.92</v>
      </c>
      <c r="CE80" s="14">
        <f t="shared" si="20"/>
        <v>1</v>
      </c>
      <c r="CF80" s="14">
        <f t="shared" si="21"/>
        <v>23.92</v>
      </c>
      <c r="CG80" s="14">
        <f t="shared" si="22"/>
        <v>133</v>
      </c>
    </row>
    <row r="81" spans="1:85" ht="13.2" x14ac:dyDescent="0.25">
      <c r="A81" s="8">
        <v>600498</v>
      </c>
      <c r="B81" s="9" t="s">
        <v>176</v>
      </c>
      <c r="C81" s="9" t="s">
        <v>86</v>
      </c>
      <c r="D81" s="9">
        <v>1</v>
      </c>
      <c r="E81" s="9">
        <v>1</v>
      </c>
      <c r="F81" s="9">
        <v>0</v>
      </c>
      <c r="G81" s="9">
        <v>0</v>
      </c>
      <c r="H81" s="10">
        <v>7</v>
      </c>
      <c r="I81" s="9">
        <v>9</v>
      </c>
      <c r="J81" s="11">
        <f t="shared" si="0"/>
        <v>0</v>
      </c>
      <c r="K81" s="10">
        <v>61</v>
      </c>
      <c r="L81" s="11">
        <v>0.1</v>
      </c>
      <c r="M81" s="11">
        <v>0</v>
      </c>
      <c r="N81" s="11" t="s">
        <v>90</v>
      </c>
      <c r="O81" s="11">
        <v>2</v>
      </c>
      <c r="P81" s="12" t="s">
        <v>88</v>
      </c>
      <c r="Q81" s="12">
        <v>0</v>
      </c>
      <c r="R81" s="9">
        <v>34</v>
      </c>
      <c r="S81" s="10">
        <v>23</v>
      </c>
      <c r="T81" s="10">
        <v>15.25</v>
      </c>
      <c r="U81" s="10">
        <f t="shared" si="1"/>
        <v>0.3</v>
      </c>
      <c r="V81" s="10">
        <v>164.86</v>
      </c>
      <c r="W81" s="10">
        <f t="shared" si="2"/>
        <v>0.7</v>
      </c>
      <c r="X81" s="10">
        <v>2</v>
      </c>
      <c r="Y81" s="10">
        <v>5</v>
      </c>
      <c r="Z81" s="10">
        <v>0</v>
      </c>
      <c r="AA81" s="10">
        <v>0</v>
      </c>
      <c r="AB81" s="10">
        <v>0</v>
      </c>
      <c r="AC81" s="9">
        <f t="shared" si="3"/>
        <v>2</v>
      </c>
      <c r="AD81" s="9">
        <v>0</v>
      </c>
      <c r="AE81" s="9">
        <v>0.6</v>
      </c>
      <c r="AF81" s="9">
        <v>1.4999999999999999E-2</v>
      </c>
      <c r="AG81" s="9">
        <v>6.5</v>
      </c>
      <c r="AH81" s="9">
        <v>1.2999999999999999E-2</v>
      </c>
      <c r="AI81" s="13">
        <v>50</v>
      </c>
      <c r="AJ81" s="9">
        <f t="shared" si="4"/>
        <v>0.6</v>
      </c>
      <c r="AK81" s="9">
        <v>3</v>
      </c>
      <c r="AL81" s="9">
        <v>18</v>
      </c>
      <c r="AM81" s="9">
        <v>8.17</v>
      </c>
      <c r="AN81" s="9">
        <v>0.8</v>
      </c>
      <c r="AO81" s="9">
        <v>0.9</v>
      </c>
      <c r="AP81" s="9">
        <v>8.5</v>
      </c>
      <c r="AQ81" s="9">
        <f t="shared" si="35"/>
        <v>0.3</v>
      </c>
      <c r="AR81" s="9">
        <v>4</v>
      </c>
      <c r="AS81" s="9">
        <v>0.5</v>
      </c>
      <c r="AT81" s="9">
        <v>0.33</v>
      </c>
      <c r="AU81" s="9">
        <v>33</v>
      </c>
      <c r="AV81" s="9">
        <v>0.5</v>
      </c>
      <c r="AW81" s="12">
        <v>20</v>
      </c>
      <c r="AX81" s="9">
        <v>0.2</v>
      </c>
      <c r="AY81" s="9">
        <v>0</v>
      </c>
      <c r="AZ81" s="9">
        <v>0</v>
      </c>
      <c r="BA81" s="9">
        <v>0</v>
      </c>
      <c r="BB81" s="9">
        <v>0</v>
      </c>
      <c r="BC81" s="9">
        <v>18</v>
      </c>
      <c r="BD81" s="9">
        <v>49</v>
      </c>
      <c r="BE81" s="9">
        <v>7</v>
      </c>
      <c r="BF81" s="9">
        <f t="shared" si="8"/>
        <v>0.3</v>
      </c>
      <c r="BG81" s="9">
        <f t="shared" si="32"/>
        <v>2</v>
      </c>
      <c r="BH81" s="9">
        <v>7</v>
      </c>
      <c r="BI81" s="9">
        <f t="shared" si="10"/>
        <v>0.3</v>
      </c>
      <c r="BJ81" s="9">
        <v>6</v>
      </c>
      <c r="BK81" s="9">
        <v>0.56999999999999995</v>
      </c>
      <c r="BL81" s="15">
        <v>6</v>
      </c>
      <c r="BM81" s="14">
        <v>0</v>
      </c>
      <c r="BN81" s="8">
        <v>0</v>
      </c>
      <c r="BO81" s="14">
        <v>0</v>
      </c>
      <c r="BP81" s="14">
        <f t="shared" si="11"/>
        <v>0.4</v>
      </c>
      <c r="BQ81" s="14">
        <v>0.3</v>
      </c>
      <c r="BR81" s="15">
        <v>0</v>
      </c>
      <c r="BS81" s="15">
        <f t="shared" si="29"/>
        <v>0.14099999999999999</v>
      </c>
      <c r="BT81" s="14">
        <v>0</v>
      </c>
      <c r="BU81" s="14">
        <v>0</v>
      </c>
      <c r="BV81" s="15">
        <v>47.25</v>
      </c>
      <c r="BW81" s="15">
        <v>5.7000000000000002E-2</v>
      </c>
      <c r="BX81" s="15">
        <f t="shared" si="13"/>
        <v>34.000000000000007</v>
      </c>
      <c r="BY81" s="14">
        <f t="shared" si="14"/>
        <v>44.900000000000006</v>
      </c>
      <c r="BZ81" s="14">
        <f t="shared" si="15"/>
        <v>0</v>
      </c>
      <c r="CA81" s="14">
        <f t="shared" si="16"/>
        <v>0</v>
      </c>
      <c r="CB81" s="14">
        <f t="shared" si="17"/>
        <v>78.900000000000006</v>
      </c>
      <c r="CC81" s="15">
        <f t="shared" si="18"/>
        <v>0.71399999999999997</v>
      </c>
      <c r="CD81" s="14">
        <f t="shared" si="19"/>
        <v>56.33</v>
      </c>
      <c r="CE81" s="14">
        <f t="shared" si="20"/>
        <v>0.86499999999999999</v>
      </c>
      <c r="CF81" s="14">
        <f t="shared" si="21"/>
        <v>48.73</v>
      </c>
      <c r="CG81" s="14">
        <f t="shared" si="22"/>
        <v>30</v>
      </c>
    </row>
    <row r="82" spans="1:85" ht="13.2" x14ac:dyDescent="0.25">
      <c r="A82" s="8">
        <v>1142247</v>
      </c>
      <c r="B82" s="9" t="s">
        <v>177</v>
      </c>
      <c r="C82" s="9" t="s">
        <v>86</v>
      </c>
      <c r="D82" s="9">
        <v>1</v>
      </c>
      <c r="E82" s="9">
        <v>0</v>
      </c>
      <c r="F82" s="9">
        <v>0</v>
      </c>
      <c r="G82" s="9">
        <v>0</v>
      </c>
      <c r="H82" s="10">
        <v>9</v>
      </c>
      <c r="I82" s="9">
        <v>20</v>
      </c>
      <c r="J82" s="11">
        <f t="shared" si="0"/>
        <v>0.1</v>
      </c>
      <c r="K82" s="10">
        <v>125</v>
      </c>
      <c r="L82" s="11">
        <v>0.1</v>
      </c>
      <c r="M82" s="11">
        <v>0</v>
      </c>
      <c r="N82" s="11" t="s">
        <v>96</v>
      </c>
      <c r="O82" s="11">
        <v>2</v>
      </c>
      <c r="P82" s="12" t="s">
        <v>88</v>
      </c>
      <c r="Q82" s="12">
        <v>0</v>
      </c>
      <c r="R82" s="9">
        <v>24</v>
      </c>
      <c r="S82" s="10">
        <v>35</v>
      </c>
      <c r="T82" s="10">
        <v>31.25</v>
      </c>
      <c r="U82" s="10">
        <f t="shared" si="1"/>
        <v>0.6</v>
      </c>
      <c r="V82" s="10">
        <v>201.61</v>
      </c>
      <c r="W82" s="10">
        <f t="shared" si="2"/>
        <v>0.9</v>
      </c>
      <c r="X82" s="10">
        <v>5</v>
      </c>
      <c r="Y82" s="10">
        <v>12</v>
      </c>
      <c r="Z82" s="10">
        <v>0</v>
      </c>
      <c r="AA82" s="10">
        <v>0</v>
      </c>
      <c r="AB82" s="10">
        <v>0</v>
      </c>
      <c r="AC82" s="9">
        <f t="shared" si="3"/>
        <v>2</v>
      </c>
      <c r="AD82" s="9">
        <v>0</v>
      </c>
      <c r="AE82" s="9">
        <v>0.6</v>
      </c>
      <c r="AF82" s="9">
        <v>1.4999999999999999E-2</v>
      </c>
      <c r="AG82" s="9">
        <v>6.5</v>
      </c>
      <c r="AH82" s="9">
        <v>1.2999999999999999E-2</v>
      </c>
      <c r="AI82" s="13">
        <v>45</v>
      </c>
      <c r="AJ82" s="9">
        <f t="shared" si="4"/>
        <v>0.5</v>
      </c>
      <c r="AK82" s="9">
        <v>0</v>
      </c>
      <c r="AL82" s="9">
        <v>0</v>
      </c>
      <c r="AM82" s="9">
        <v>0</v>
      </c>
      <c r="AN82" s="9">
        <v>0</v>
      </c>
      <c r="AO82" s="9">
        <f t="shared" ref="AO82:AO185" si="41">ROUND((AP82 - MIN($AP$2:$AP2050)) / (MAX($AP$2:$AP2050) - MIN($AP$2:$AP2050)), 1)</f>
        <v>0</v>
      </c>
      <c r="AP82" s="9">
        <v>0</v>
      </c>
      <c r="AQ82" s="9">
        <f t="shared" si="35"/>
        <v>0</v>
      </c>
      <c r="AR82" s="9">
        <v>2</v>
      </c>
      <c r="AS82" s="9">
        <v>0</v>
      </c>
      <c r="AT82" s="9">
        <v>0</v>
      </c>
      <c r="AU82" s="9">
        <v>0</v>
      </c>
      <c r="AV82" s="9">
        <v>0</v>
      </c>
      <c r="AW82" s="12">
        <v>19</v>
      </c>
      <c r="AX82" s="9">
        <v>0.2</v>
      </c>
      <c r="AY82" s="9">
        <v>0</v>
      </c>
      <c r="AZ82" s="9">
        <f>(AP82 - MIN($AP$2:$AP$964)) / (MAX($AP$2:$AP$964) - MIN($AP$2:$AP$964))</f>
        <v>0</v>
      </c>
      <c r="BA82" s="9">
        <v>0</v>
      </c>
      <c r="BB82" s="9">
        <v>0</v>
      </c>
      <c r="BC82" s="9">
        <v>0</v>
      </c>
      <c r="BD82" s="9">
        <v>0</v>
      </c>
      <c r="BE82" s="9">
        <v>8</v>
      </c>
      <c r="BF82" s="9">
        <f t="shared" si="8"/>
        <v>0.5</v>
      </c>
      <c r="BG82" s="9">
        <f t="shared" si="32"/>
        <v>2</v>
      </c>
      <c r="BH82" s="9">
        <v>6</v>
      </c>
      <c r="BI82" s="9">
        <f t="shared" si="10"/>
        <v>0</v>
      </c>
      <c r="BJ82" s="9">
        <v>6</v>
      </c>
      <c r="BK82" s="9">
        <v>0.56999999999999995</v>
      </c>
      <c r="BL82" s="15">
        <v>6</v>
      </c>
      <c r="BM82" s="14">
        <v>0</v>
      </c>
      <c r="BN82" s="8">
        <v>0</v>
      </c>
      <c r="BO82" s="14">
        <v>0</v>
      </c>
      <c r="BP82" s="14">
        <f t="shared" si="11"/>
        <v>0.5</v>
      </c>
      <c r="BQ82" s="14">
        <v>0</v>
      </c>
      <c r="BR82" s="15">
        <v>0</v>
      </c>
      <c r="BS82" s="15">
        <f t="shared" si="29"/>
        <v>0.14500000000000002</v>
      </c>
      <c r="BT82" s="14">
        <v>0</v>
      </c>
      <c r="BU82" s="14">
        <v>0</v>
      </c>
      <c r="BV82" s="15">
        <v>44.85</v>
      </c>
      <c r="BW82" s="15">
        <v>5.3999999999999999E-2</v>
      </c>
      <c r="BX82" s="15">
        <f t="shared" si="13"/>
        <v>43</v>
      </c>
      <c r="BY82" s="14">
        <f t="shared" si="14"/>
        <v>0</v>
      </c>
      <c r="BZ82" s="14">
        <f t="shared" si="15"/>
        <v>0</v>
      </c>
      <c r="CA82" s="14">
        <f t="shared" si="16"/>
        <v>0</v>
      </c>
      <c r="CB82" s="14">
        <f t="shared" si="17"/>
        <v>43</v>
      </c>
      <c r="CC82" s="15">
        <f t="shared" si="18"/>
        <v>0.71499999999999997</v>
      </c>
      <c r="CD82" s="14">
        <f t="shared" si="19"/>
        <v>30.75</v>
      </c>
      <c r="CE82" s="14">
        <f t="shared" si="20"/>
        <v>1</v>
      </c>
      <c r="CF82" s="14">
        <f t="shared" si="21"/>
        <v>30.75</v>
      </c>
      <c r="CG82" s="14">
        <f t="shared" si="22"/>
        <v>91</v>
      </c>
    </row>
    <row r="83" spans="1:85" ht="13.2" x14ac:dyDescent="0.25">
      <c r="A83" s="8">
        <v>926851</v>
      </c>
      <c r="B83" s="9" t="s">
        <v>178</v>
      </c>
      <c r="C83" s="9" t="s">
        <v>179</v>
      </c>
      <c r="D83" s="9">
        <v>0</v>
      </c>
      <c r="E83" s="9">
        <v>1</v>
      </c>
      <c r="F83" s="9">
        <v>1</v>
      </c>
      <c r="G83" s="9">
        <v>0</v>
      </c>
      <c r="H83" s="9">
        <v>13</v>
      </c>
      <c r="I83" s="9">
        <v>22</v>
      </c>
      <c r="J83" s="11">
        <f t="shared" si="0"/>
        <v>0</v>
      </c>
      <c r="K83" s="10">
        <v>9</v>
      </c>
      <c r="L83" s="11">
        <v>0</v>
      </c>
      <c r="M83" s="11">
        <v>0.1</v>
      </c>
      <c r="N83" s="11" t="s">
        <v>180</v>
      </c>
      <c r="O83" s="11">
        <v>2</v>
      </c>
      <c r="P83" s="9" t="s">
        <v>103</v>
      </c>
      <c r="Q83" s="9">
        <v>1</v>
      </c>
      <c r="R83" s="9">
        <v>33</v>
      </c>
      <c r="S83" s="10">
        <v>0</v>
      </c>
      <c r="T83" s="10">
        <v>26.12</v>
      </c>
      <c r="U83" s="10">
        <f t="shared" si="1"/>
        <v>0.5</v>
      </c>
      <c r="V83" s="9">
        <v>81.819999999999993</v>
      </c>
      <c r="W83" s="10">
        <f t="shared" si="2"/>
        <v>0.3</v>
      </c>
      <c r="X83" s="10">
        <v>25</v>
      </c>
      <c r="Y83" s="10">
        <v>30</v>
      </c>
      <c r="Z83" s="10">
        <v>0</v>
      </c>
      <c r="AA83" s="10">
        <v>0</v>
      </c>
      <c r="AB83" s="9">
        <v>8.5</v>
      </c>
      <c r="AC83" s="9">
        <f t="shared" si="3"/>
        <v>3</v>
      </c>
      <c r="AD83" s="9">
        <v>2</v>
      </c>
      <c r="AE83" s="9">
        <v>0.6</v>
      </c>
      <c r="AF83" s="9">
        <v>1.4999999999999999E-2</v>
      </c>
      <c r="AG83" s="9">
        <v>6.5</v>
      </c>
      <c r="AH83" s="9">
        <v>0.01</v>
      </c>
      <c r="AI83" s="13">
        <v>6</v>
      </c>
      <c r="AJ83" s="9">
        <f t="shared" si="4"/>
        <v>0</v>
      </c>
      <c r="AK83" s="9">
        <v>17</v>
      </c>
      <c r="AL83" s="9">
        <v>41.5</v>
      </c>
      <c r="AM83" s="9">
        <v>10.61</v>
      </c>
      <c r="AN83" s="9">
        <v>0.4</v>
      </c>
      <c r="AO83" s="9">
        <f t="shared" si="41"/>
        <v>1</v>
      </c>
      <c r="AP83" s="9">
        <v>9</v>
      </c>
      <c r="AQ83" s="9">
        <f t="shared" si="35"/>
        <v>0.8</v>
      </c>
      <c r="AR83" s="9">
        <v>7</v>
      </c>
      <c r="AS83" s="9">
        <v>1</v>
      </c>
      <c r="AT83" s="9">
        <v>0.67</v>
      </c>
      <c r="AU83" s="9">
        <v>41</v>
      </c>
      <c r="AV83" s="15">
        <v>0.7</v>
      </c>
      <c r="AW83" s="12">
        <v>0</v>
      </c>
      <c r="AX83" s="9">
        <v>0.2</v>
      </c>
      <c r="AY83" s="9">
        <v>0</v>
      </c>
      <c r="AZ83" s="9">
        <v>0</v>
      </c>
      <c r="BA83" s="9">
        <v>0</v>
      </c>
      <c r="BB83" s="9">
        <v>0</v>
      </c>
      <c r="BC83" s="9">
        <v>41.5</v>
      </c>
      <c r="BD83" s="9">
        <v>26.12</v>
      </c>
      <c r="BE83" s="9">
        <v>7</v>
      </c>
      <c r="BF83" s="9">
        <f t="shared" si="8"/>
        <v>0.3</v>
      </c>
      <c r="BG83" s="9">
        <f t="shared" si="32"/>
        <v>2</v>
      </c>
      <c r="BH83" s="9">
        <v>7</v>
      </c>
      <c r="BI83" s="9">
        <f t="shared" si="10"/>
        <v>0.3</v>
      </c>
      <c r="BJ83" s="9">
        <v>5</v>
      </c>
      <c r="BK83" s="9">
        <v>0.43</v>
      </c>
      <c r="BL83" s="15">
        <v>8</v>
      </c>
      <c r="BM83" s="14">
        <v>0.67</v>
      </c>
      <c r="BN83" s="8">
        <v>0.3</v>
      </c>
      <c r="BO83" s="14">
        <v>0</v>
      </c>
      <c r="BP83" s="14">
        <v>0</v>
      </c>
      <c r="BQ83" s="14">
        <f t="shared" ref="BQ83:BQ130" si="42">ROUND((0.3*M83) + (0.22*AN83) + (0.18*AT83) + (0.12*AV83) + (0.1*AJ83) + (0.08*AQ83),1)</f>
        <v>0.4</v>
      </c>
      <c r="BR83" s="15">
        <v>0</v>
      </c>
      <c r="BS83" s="15">
        <f t="shared" si="29"/>
        <v>5.8999999999999997E-2</v>
      </c>
      <c r="BT83" s="14">
        <v>0</v>
      </c>
      <c r="BU83" s="14">
        <v>0</v>
      </c>
      <c r="BV83" s="15">
        <v>300.5</v>
      </c>
      <c r="BW83" s="15">
        <v>0.33</v>
      </c>
      <c r="BX83" s="15">
        <f t="shared" si="13"/>
        <v>0</v>
      </c>
      <c r="BY83" s="14">
        <f t="shared" si="14"/>
        <v>58.599999999999994</v>
      </c>
      <c r="BZ83" s="14">
        <f t="shared" si="15"/>
        <v>4.75</v>
      </c>
      <c r="CA83" s="14">
        <f t="shared" si="16"/>
        <v>0</v>
      </c>
      <c r="CB83" s="14">
        <f t="shared" si="17"/>
        <v>63.349999999999994</v>
      </c>
      <c r="CC83" s="15">
        <f t="shared" si="18"/>
        <v>0.70599999999999996</v>
      </c>
      <c r="CD83" s="14">
        <f t="shared" si="19"/>
        <v>44.73</v>
      </c>
      <c r="CE83" s="14">
        <f t="shared" si="20"/>
        <v>0.72</v>
      </c>
      <c r="CF83" s="14">
        <f t="shared" si="21"/>
        <v>32.21</v>
      </c>
      <c r="CG83" s="14">
        <f t="shared" si="22"/>
        <v>77</v>
      </c>
    </row>
    <row r="84" spans="1:85" ht="13.2" x14ac:dyDescent="0.25">
      <c r="A84" s="8">
        <v>1206051</v>
      </c>
      <c r="B84" s="9" t="s">
        <v>181</v>
      </c>
      <c r="C84" s="9" t="s">
        <v>179</v>
      </c>
      <c r="D84" s="9">
        <v>0</v>
      </c>
      <c r="E84" s="9">
        <v>1</v>
      </c>
      <c r="F84" s="9">
        <v>0</v>
      </c>
      <c r="G84" s="9">
        <v>0</v>
      </c>
      <c r="H84" s="9">
        <v>18</v>
      </c>
      <c r="I84" s="9">
        <v>18</v>
      </c>
      <c r="J84" s="11">
        <f t="shared" si="0"/>
        <v>0</v>
      </c>
      <c r="K84" s="10">
        <v>0</v>
      </c>
      <c r="L84" s="11">
        <v>0</v>
      </c>
      <c r="M84" s="11">
        <v>0.2</v>
      </c>
      <c r="N84" s="11" t="s">
        <v>180</v>
      </c>
      <c r="O84" s="11">
        <v>3</v>
      </c>
      <c r="P84" s="9" t="s">
        <v>182</v>
      </c>
      <c r="Q84" s="9">
        <v>1</v>
      </c>
      <c r="R84" s="9">
        <v>22</v>
      </c>
      <c r="S84" s="10">
        <v>0</v>
      </c>
      <c r="T84" s="10">
        <v>0</v>
      </c>
      <c r="U84" s="10">
        <f t="shared" si="1"/>
        <v>0</v>
      </c>
      <c r="V84" s="9">
        <v>12.81</v>
      </c>
      <c r="W84" s="10">
        <f t="shared" si="2"/>
        <v>0</v>
      </c>
      <c r="X84" s="10">
        <v>0</v>
      </c>
      <c r="Y84" s="10">
        <v>0</v>
      </c>
      <c r="Z84" s="10">
        <v>0</v>
      </c>
      <c r="AA84" s="10">
        <v>0</v>
      </c>
      <c r="AB84" s="9">
        <v>7.25</v>
      </c>
      <c r="AC84" s="9">
        <f t="shared" si="3"/>
        <v>3</v>
      </c>
      <c r="AD84" s="9">
        <v>0.5</v>
      </c>
      <c r="AE84" s="9">
        <v>0.6</v>
      </c>
      <c r="AF84" s="9">
        <v>1.4999999999999999E-2</v>
      </c>
      <c r="AG84" s="9">
        <v>48</v>
      </c>
      <c r="AH84" s="9">
        <v>1.2E-2</v>
      </c>
      <c r="AI84" s="13">
        <v>5</v>
      </c>
      <c r="AJ84" s="9">
        <f t="shared" si="4"/>
        <v>0</v>
      </c>
      <c r="AK84" s="9">
        <v>32</v>
      </c>
      <c r="AL84" s="9">
        <v>68.2</v>
      </c>
      <c r="AM84" s="9">
        <v>0</v>
      </c>
      <c r="AN84" s="9">
        <v>0</v>
      </c>
      <c r="AO84" s="9">
        <f t="shared" si="41"/>
        <v>0.9</v>
      </c>
      <c r="AP84" s="9">
        <v>8.5</v>
      </c>
      <c r="AQ84" s="9">
        <f t="shared" si="35"/>
        <v>0.3</v>
      </c>
      <c r="AR84" s="9">
        <v>3.5</v>
      </c>
      <c r="AS84" s="9">
        <v>0.8</v>
      </c>
      <c r="AT84" s="9">
        <v>0.53</v>
      </c>
      <c r="AU84" s="9">
        <v>46</v>
      </c>
      <c r="AV84" s="15">
        <v>0.9</v>
      </c>
      <c r="AW84" s="12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68.2</v>
      </c>
      <c r="BD84" s="9">
        <v>16.88</v>
      </c>
      <c r="BE84" s="9">
        <v>7.5</v>
      </c>
      <c r="BF84" s="9">
        <f t="shared" si="8"/>
        <v>0.4</v>
      </c>
      <c r="BG84" s="9">
        <f t="shared" si="32"/>
        <v>2</v>
      </c>
      <c r="BH84" s="9">
        <v>6</v>
      </c>
      <c r="BI84" s="9">
        <f t="shared" si="10"/>
        <v>0</v>
      </c>
      <c r="BJ84" s="9">
        <v>5</v>
      </c>
      <c r="BK84" s="9">
        <v>0.43</v>
      </c>
      <c r="BL84" s="15">
        <v>8</v>
      </c>
      <c r="BM84" s="23">
        <v>0.67</v>
      </c>
      <c r="BN84" s="8">
        <v>0</v>
      </c>
      <c r="BO84" s="14">
        <v>0</v>
      </c>
      <c r="BP84" s="14">
        <v>0</v>
      </c>
      <c r="BQ84" s="14">
        <f t="shared" si="42"/>
        <v>0.3</v>
      </c>
      <c r="BR84" s="15">
        <v>0</v>
      </c>
      <c r="BS84" s="15">
        <f t="shared" si="29"/>
        <v>0.10199999999999999</v>
      </c>
      <c r="BT84" s="14">
        <v>0</v>
      </c>
      <c r="BU84" s="14">
        <v>0</v>
      </c>
      <c r="BV84" s="15">
        <v>511.6</v>
      </c>
      <c r="BW84" s="15">
        <v>0.55900000000000005</v>
      </c>
      <c r="BX84" s="15">
        <f t="shared" si="13"/>
        <v>0</v>
      </c>
      <c r="BY84" s="14">
        <f t="shared" si="14"/>
        <v>48.900000000000006</v>
      </c>
      <c r="BZ84" s="14">
        <f t="shared" si="15"/>
        <v>0</v>
      </c>
      <c r="CA84" s="14">
        <f t="shared" si="16"/>
        <v>0</v>
      </c>
      <c r="CB84" s="14">
        <f t="shared" si="17"/>
        <v>48.900000000000006</v>
      </c>
      <c r="CC84" s="15">
        <f t="shared" si="18"/>
        <v>0.71</v>
      </c>
      <c r="CD84" s="14">
        <f t="shared" si="19"/>
        <v>34.72</v>
      </c>
      <c r="CE84" s="14">
        <f t="shared" si="20"/>
        <v>0.94</v>
      </c>
      <c r="CF84" s="14">
        <f t="shared" si="21"/>
        <v>32.64</v>
      </c>
      <c r="CG84" s="14">
        <f t="shared" si="22"/>
        <v>75</v>
      </c>
    </row>
    <row r="85" spans="1:85" ht="13.2" x14ac:dyDescent="0.25">
      <c r="A85" s="8">
        <v>1305523</v>
      </c>
      <c r="B85" s="9" t="s">
        <v>183</v>
      </c>
      <c r="C85" s="9" t="s">
        <v>179</v>
      </c>
      <c r="D85" s="9">
        <v>0</v>
      </c>
      <c r="E85" s="9">
        <v>1</v>
      </c>
      <c r="F85" s="9">
        <v>0</v>
      </c>
      <c r="G85" s="9">
        <v>0</v>
      </c>
      <c r="H85" s="9">
        <v>17</v>
      </c>
      <c r="I85" s="9">
        <v>0</v>
      </c>
      <c r="J85" s="11">
        <f t="shared" si="0"/>
        <v>0</v>
      </c>
      <c r="K85" s="10">
        <v>0</v>
      </c>
      <c r="L85" s="11">
        <v>0</v>
      </c>
      <c r="M85" s="11">
        <v>0.2</v>
      </c>
      <c r="N85" s="11" t="s">
        <v>180</v>
      </c>
      <c r="O85" s="11">
        <v>6</v>
      </c>
      <c r="P85" s="9" t="s">
        <v>143</v>
      </c>
      <c r="Q85" s="9">
        <v>1</v>
      </c>
      <c r="R85" s="9">
        <v>25</v>
      </c>
      <c r="S85" s="10">
        <v>0</v>
      </c>
      <c r="T85" s="10">
        <v>0</v>
      </c>
      <c r="U85" s="10">
        <f t="shared" si="1"/>
        <v>0</v>
      </c>
      <c r="V85" s="9">
        <v>15.48</v>
      </c>
      <c r="W85" s="10">
        <f t="shared" si="2"/>
        <v>0</v>
      </c>
      <c r="X85" s="10">
        <v>0</v>
      </c>
      <c r="Y85" s="10">
        <v>0</v>
      </c>
      <c r="Z85" s="10">
        <v>0</v>
      </c>
      <c r="AA85" s="10">
        <v>0</v>
      </c>
      <c r="AB85" s="9">
        <v>4</v>
      </c>
      <c r="AC85" s="9">
        <f t="shared" si="3"/>
        <v>3</v>
      </c>
      <c r="AD85" s="9">
        <v>2</v>
      </c>
      <c r="AE85" s="9">
        <v>0.6</v>
      </c>
      <c r="AF85" s="9">
        <v>1.4999999999999999E-2</v>
      </c>
      <c r="AG85" s="9">
        <v>26.7</v>
      </c>
      <c r="AH85" s="9">
        <v>1.2999999999999999E-2</v>
      </c>
      <c r="AI85" s="13">
        <v>4</v>
      </c>
      <c r="AJ85" s="9">
        <f t="shared" si="4"/>
        <v>0</v>
      </c>
      <c r="AK85" s="9">
        <v>25</v>
      </c>
      <c r="AL85" s="9">
        <v>64.3</v>
      </c>
      <c r="AM85" s="9">
        <v>9.16</v>
      </c>
      <c r="AN85" s="15">
        <v>0.6</v>
      </c>
      <c r="AO85" s="9">
        <f t="shared" si="41"/>
        <v>0.9</v>
      </c>
      <c r="AP85" s="9">
        <v>8.5</v>
      </c>
      <c r="AQ85" s="9">
        <f t="shared" si="35"/>
        <v>0.3</v>
      </c>
      <c r="AR85" s="9">
        <v>3.5</v>
      </c>
      <c r="AS85" s="9">
        <v>0.75</v>
      </c>
      <c r="AT85" s="9">
        <v>0.5</v>
      </c>
      <c r="AU85" s="9">
        <v>39</v>
      </c>
      <c r="AV85" s="15">
        <v>0.7</v>
      </c>
      <c r="AW85" s="12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64.3</v>
      </c>
      <c r="BD85" s="9">
        <v>23.64</v>
      </c>
      <c r="BE85" s="9">
        <v>7</v>
      </c>
      <c r="BF85" s="9">
        <f t="shared" si="8"/>
        <v>0.3</v>
      </c>
      <c r="BG85" s="9">
        <f t="shared" si="32"/>
        <v>2</v>
      </c>
      <c r="BH85" s="9">
        <v>7</v>
      </c>
      <c r="BI85" s="9">
        <f t="shared" si="10"/>
        <v>0.3</v>
      </c>
      <c r="BJ85" s="9">
        <v>2</v>
      </c>
      <c r="BK85" s="9">
        <v>0</v>
      </c>
      <c r="BL85" s="15">
        <v>7</v>
      </c>
      <c r="BM85" s="14">
        <v>0.33</v>
      </c>
      <c r="BN85" s="8">
        <v>0</v>
      </c>
      <c r="BO85" s="14">
        <v>0</v>
      </c>
      <c r="BP85" s="14">
        <v>0</v>
      </c>
      <c r="BQ85" s="14">
        <f t="shared" si="42"/>
        <v>0.4</v>
      </c>
      <c r="BR85" s="15">
        <v>0</v>
      </c>
      <c r="BS85" s="15">
        <f t="shared" si="29"/>
        <v>9.4E-2</v>
      </c>
      <c r="BT85" s="14">
        <v>0</v>
      </c>
      <c r="BU85" s="14">
        <v>0</v>
      </c>
      <c r="BV85" s="15">
        <v>485.4</v>
      </c>
      <c r="BW85" s="15">
        <v>0.53</v>
      </c>
      <c r="BX85" s="15">
        <f t="shared" si="13"/>
        <v>0</v>
      </c>
      <c r="BY85" s="14">
        <f t="shared" si="14"/>
        <v>54.499999999999993</v>
      </c>
      <c r="BZ85" s="14">
        <f t="shared" si="15"/>
        <v>0</v>
      </c>
      <c r="CA85" s="14">
        <f t="shared" si="16"/>
        <v>0</v>
      </c>
      <c r="CB85" s="14">
        <f t="shared" si="17"/>
        <v>54.499999999999993</v>
      </c>
      <c r="CC85" s="15">
        <f t="shared" si="18"/>
        <v>0.70899999999999996</v>
      </c>
      <c r="CD85" s="14">
        <f t="shared" si="19"/>
        <v>38.64</v>
      </c>
      <c r="CE85" s="14">
        <f t="shared" si="20"/>
        <v>0.94</v>
      </c>
      <c r="CF85" s="14">
        <f t="shared" si="21"/>
        <v>36.32</v>
      </c>
      <c r="CG85" s="14">
        <f t="shared" si="22"/>
        <v>56</v>
      </c>
    </row>
    <row r="86" spans="1:85" ht="13.2" x14ac:dyDescent="0.25">
      <c r="A86" s="8">
        <v>592273</v>
      </c>
      <c r="B86" s="9" t="s">
        <v>184</v>
      </c>
      <c r="C86" s="9" t="s">
        <v>179</v>
      </c>
      <c r="D86" s="9">
        <v>0</v>
      </c>
      <c r="E86" s="9">
        <v>1</v>
      </c>
      <c r="F86" s="9">
        <v>1</v>
      </c>
      <c r="G86" s="9">
        <v>0</v>
      </c>
      <c r="H86" s="9">
        <v>20</v>
      </c>
      <c r="I86" s="9">
        <v>10</v>
      </c>
      <c r="J86" s="11">
        <f t="shared" si="0"/>
        <v>0</v>
      </c>
      <c r="K86" s="10">
        <v>10</v>
      </c>
      <c r="L86" s="11">
        <v>12</v>
      </c>
      <c r="M86" s="11">
        <v>0.1</v>
      </c>
      <c r="N86" s="11" t="s">
        <v>180</v>
      </c>
      <c r="O86" s="11">
        <v>6</v>
      </c>
      <c r="P86" s="9" t="s">
        <v>88</v>
      </c>
      <c r="Q86" s="9">
        <v>0</v>
      </c>
      <c r="R86" s="9">
        <v>30</v>
      </c>
      <c r="S86" s="10">
        <v>0</v>
      </c>
      <c r="T86" s="10">
        <v>28.9</v>
      </c>
      <c r="U86" s="10">
        <f t="shared" si="1"/>
        <v>0.5</v>
      </c>
      <c r="V86" s="9">
        <v>16.63</v>
      </c>
      <c r="W86" s="10">
        <f t="shared" si="2"/>
        <v>0</v>
      </c>
      <c r="X86" s="10">
        <v>10</v>
      </c>
      <c r="Y86" s="10">
        <v>5</v>
      </c>
      <c r="Z86" s="10">
        <v>0</v>
      </c>
      <c r="AA86" s="10">
        <v>0</v>
      </c>
      <c r="AB86" s="9">
        <v>5.5</v>
      </c>
      <c r="AC86" s="9">
        <f t="shared" si="3"/>
        <v>3</v>
      </c>
      <c r="AD86" s="9">
        <v>2</v>
      </c>
      <c r="AE86" s="9">
        <v>0.6</v>
      </c>
      <c r="AF86" s="9">
        <v>1.4999999999999999E-2</v>
      </c>
      <c r="AG86" s="9">
        <v>7.5</v>
      </c>
      <c r="AH86" s="9">
        <v>1.0999999999999999E-2</v>
      </c>
      <c r="AI86" s="13">
        <v>6</v>
      </c>
      <c r="AJ86" s="9">
        <f t="shared" si="4"/>
        <v>0</v>
      </c>
      <c r="AK86" s="9">
        <v>24</v>
      </c>
      <c r="AL86" s="9">
        <v>66.3</v>
      </c>
      <c r="AM86" s="9">
        <v>10.44</v>
      </c>
      <c r="AN86" s="15">
        <v>0.5</v>
      </c>
      <c r="AO86" s="9">
        <f t="shared" si="41"/>
        <v>1</v>
      </c>
      <c r="AP86" s="9">
        <v>9</v>
      </c>
      <c r="AQ86" s="9">
        <f t="shared" si="35"/>
        <v>0.3</v>
      </c>
      <c r="AR86" s="9">
        <v>3.5</v>
      </c>
      <c r="AS86" s="9">
        <v>0.7</v>
      </c>
      <c r="AT86" s="9">
        <v>0.47</v>
      </c>
      <c r="AU86" s="9">
        <v>36</v>
      </c>
      <c r="AV86" s="15">
        <v>0.6</v>
      </c>
      <c r="AW86" s="12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66.3</v>
      </c>
      <c r="BD86" s="9">
        <v>28.92</v>
      </c>
      <c r="BE86" s="9">
        <v>7</v>
      </c>
      <c r="BF86" s="9">
        <f t="shared" si="8"/>
        <v>0.3</v>
      </c>
      <c r="BG86" s="9">
        <f t="shared" si="32"/>
        <v>2</v>
      </c>
      <c r="BH86" s="9">
        <v>6</v>
      </c>
      <c r="BI86" s="9">
        <f t="shared" si="10"/>
        <v>0</v>
      </c>
      <c r="BJ86" s="9">
        <v>2</v>
      </c>
      <c r="BK86" s="9">
        <v>0</v>
      </c>
      <c r="BL86" s="15">
        <v>7</v>
      </c>
      <c r="BM86" s="14">
        <v>0.33</v>
      </c>
      <c r="BN86" s="8">
        <v>2.4</v>
      </c>
      <c r="BO86" s="14">
        <v>0</v>
      </c>
      <c r="BP86" s="14">
        <v>0</v>
      </c>
      <c r="BQ86" s="14">
        <f t="shared" si="42"/>
        <v>0.3</v>
      </c>
      <c r="BR86" s="15">
        <v>0</v>
      </c>
      <c r="BS86" s="15">
        <f t="shared" si="29"/>
        <v>5.4590000000000005</v>
      </c>
      <c r="BT86" s="14">
        <v>0</v>
      </c>
      <c r="BU86" s="14">
        <v>0</v>
      </c>
      <c r="BV86" s="15">
        <v>500.9</v>
      </c>
      <c r="BW86" s="15">
        <v>0.54700000000000004</v>
      </c>
      <c r="BX86" s="15">
        <f t="shared" si="13"/>
        <v>0</v>
      </c>
      <c r="BY86" s="14">
        <f t="shared" si="14"/>
        <v>48.6</v>
      </c>
      <c r="BZ86" s="14">
        <f t="shared" si="15"/>
        <v>8.75</v>
      </c>
      <c r="CA86" s="14">
        <f t="shared" si="16"/>
        <v>0</v>
      </c>
      <c r="CB86" s="14">
        <f t="shared" si="17"/>
        <v>57.35</v>
      </c>
      <c r="CC86" s="15">
        <f t="shared" si="18"/>
        <v>1.246</v>
      </c>
      <c r="CD86" s="14">
        <f t="shared" si="19"/>
        <v>71.459999999999994</v>
      </c>
      <c r="CE86" s="14">
        <f t="shared" si="20"/>
        <v>0.89500000000000002</v>
      </c>
      <c r="CF86" s="14">
        <f t="shared" si="21"/>
        <v>63.96</v>
      </c>
      <c r="CG86" s="14">
        <f t="shared" si="22"/>
        <v>17</v>
      </c>
    </row>
    <row r="87" spans="1:85" ht="13.2" x14ac:dyDescent="0.25">
      <c r="A87" s="8">
        <v>959767</v>
      </c>
      <c r="B87" s="9" t="s">
        <v>185</v>
      </c>
      <c r="C87" s="9" t="s">
        <v>179</v>
      </c>
      <c r="D87" s="9">
        <v>0</v>
      </c>
      <c r="E87" s="9">
        <v>1</v>
      </c>
      <c r="F87" s="9">
        <v>0</v>
      </c>
      <c r="G87" s="9">
        <v>0</v>
      </c>
      <c r="H87" s="9">
        <v>25</v>
      </c>
      <c r="I87" s="9">
        <v>18</v>
      </c>
      <c r="J87" s="11">
        <f t="shared" si="0"/>
        <v>0</v>
      </c>
      <c r="K87" s="10">
        <v>0</v>
      </c>
      <c r="L87" s="11">
        <v>0</v>
      </c>
      <c r="M87" s="11">
        <v>0.1</v>
      </c>
      <c r="N87" s="11" t="s">
        <v>180</v>
      </c>
      <c r="O87" s="11">
        <v>6</v>
      </c>
      <c r="P87" s="9" t="s">
        <v>88</v>
      </c>
      <c r="Q87" s="9">
        <v>0</v>
      </c>
      <c r="R87" s="9">
        <v>34</v>
      </c>
      <c r="S87" s="10">
        <v>0</v>
      </c>
      <c r="T87" s="10">
        <v>0</v>
      </c>
      <c r="U87" s="10">
        <f t="shared" si="1"/>
        <v>0</v>
      </c>
      <c r="V87" s="9">
        <v>12.48</v>
      </c>
      <c r="W87" s="10">
        <f t="shared" si="2"/>
        <v>0</v>
      </c>
      <c r="X87" s="10">
        <v>0</v>
      </c>
      <c r="Y87" s="10">
        <v>0</v>
      </c>
      <c r="Z87" s="10">
        <v>0</v>
      </c>
      <c r="AA87" s="10">
        <v>0</v>
      </c>
      <c r="AB87" s="9">
        <v>4.5</v>
      </c>
      <c r="AC87" s="9">
        <f t="shared" si="3"/>
        <v>3</v>
      </c>
      <c r="AD87" s="9">
        <v>0.5</v>
      </c>
      <c r="AE87" s="9">
        <v>0.5</v>
      </c>
      <c r="AF87" s="9">
        <v>1.2500000000000001E-2</v>
      </c>
      <c r="AG87" s="9">
        <v>50</v>
      </c>
      <c r="AH87" s="9">
        <v>0.01</v>
      </c>
      <c r="AI87" s="13">
        <v>5</v>
      </c>
      <c r="AJ87" s="9">
        <f t="shared" si="4"/>
        <v>0</v>
      </c>
      <c r="AK87" s="9">
        <v>40</v>
      </c>
      <c r="AL87" s="9">
        <v>83.1</v>
      </c>
      <c r="AM87" s="9">
        <v>9.4499999999999993</v>
      </c>
      <c r="AN87" s="15">
        <v>0.5</v>
      </c>
      <c r="AO87" s="9">
        <f t="shared" si="41"/>
        <v>0.9</v>
      </c>
      <c r="AP87" s="9">
        <v>8</v>
      </c>
      <c r="AQ87" s="9">
        <f t="shared" si="35"/>
        <v>0.3</v>
      </c>
      <c r="AR87" s="9">
        <v>3.5</v>
      </c>
      <c r="AS87" s="9">
        <v>0.5</v>
      </c>
      <c r="AT87" s="9">
        <v>0.33</v>
      </c>
      <c r="AU87" s="9">
        <v>42</v>
      </c>
      <c r="AV87" s="15">
        <v>0.8</v>
      </c>
      <c r="AW87" s="12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83.1</v>
      </c>
      <c r="BD87" s="9">
        <v>19.649999999999999</v>
      </c>
      <c r="BE87" s="9">
        <v>7.5</v>
      </c>
      <c r="BF87" s="9">
        <f t="shared" si="8"/>
        <v>0.4</v>
      </c>
      <c r="BG87" s="9">
        <f t="shared" si="32"/>
        <v>2</v>
      </c>
      <c r="BH87" s="9">
        <v>7</v>
      </c>
      <c r="BI87" s="9">
        <f t="shared" si="10"/>
        <v>0.3</v>
      </c>
      <c r="BJ87" s="9">
        <v>2</v>
      </c>
      <c r="BK87" s="9">
        <v>0</v>
      </c>
      <c r="BL87" s="15">
        <v>7</v>
      </c>
      <c r="BM87" s="14">
        <v>0.33</v>
      </c>
      <c r="BN87" s="8">
        <v>0</v>
      </c>
      <c r="BO87" s="14">
        <v>0</v>
      </c>
      <c r="BP87" s="14">
        <v>0</v>
      </c>
      <c r="BQ87" s="14">
        <f t="shared" si="42"/>
        <v>0.3</v>
      </c>
      <c r="BR87" s="15">
        <v>0</v>
      </c>
      <c r="BS87" s="15">
        <f t="shared" si="29"/>
        <v>6.7000000000000004E-2</v>
      </c>
      <c r="BT87" s="14">
        <v>0</v>
      </c>
      <c r="BU87" s="14">
        <v>0</v>
      </c>
      <c r="BV87" s="15">
        <v>635.29999999999995</v>
      </c>
      <c r="BW87" s="15">
        <v>0.69299999999999995</v>
      </c>
      <c r="BX87" s="15">
        <f t="shared" si="13"/>
        <v>0</v>
      </c>
      <c r="BY87" s="14">
        <f t="shared" si="14"/>
        <v>46.400000000000006</v>
      </c>
      <c r="BZ87" s="14">
        <f t="shared" si="15"/>
        <v>0</v>
      </c>
      <c r="CA87" s="14">
        <f t="shared" si="16"/>
        <v>0</v>
      </c>
      <c r="CB87" s="14">
        <f t="shared" si="17"/>
        <v>46.400000000000006</v>
      </c>
      <c r="CC87" s="15">
        <f t="shared" si="18"/>
        <v>0.70699999999999996</v>
      </c>
      <c r="CD87" s="14">
        <f t="shared" si="19"/>
        <v>32.799999999999997</v>
      </c>
      <c r="CE87" s="14">
        <f t="shared" si="20"/>
        <v>0.94</v>
      </c>
      <c r="CF87" s="14">
        <f t="shared" si="21"/>
        <v>30.83</v>
      </c>
      <c r="CG87" s="14">
        <f t="shared" si="22"/>
        <v>87</v>
      </c>
    </row>
    <row r="88" spans="1:85" ht="13.2" x14ac:dyDescent="0.25">
      <c r="A88" s="8">
        <v>1159711</v>
      </c>
      <c r="B88" s="9" t="s">
        <v>186</v>
      </c>
      <c r="C88" s="9" t="s">
        <v>179</v>
      </c>
      <c r="D88" s="9">
        <v>0</v>
      </c>
      <c r="E88" s="9">
        <v>1</v>
      </c>
      <c r="F88" s="9">
        <v>0</v>
      </c>
      <c r="G88" s="9">
        <v>0</v>
      </c>
      <c r="H88" s="9">
        <v>17</v>
      </c>
      <c r="I88" s="9">
        <v>21</v>
      </c>
      <c r="J88" s="11">
        <f t="shared" si="0"/>
        <v>0</v>
      </c>
      <c r="K88" s="10">
        <v>0</v>
      </c>
      <c r="L88" s="11">
        <v>0</v>
      </c>
      <c r="M88" s="11">
        <v>0.1</v>
      </c>
      <c r="N88" s="11" t="s">
        <v>180</v>
      </c>
      <c r="O88" s="11">
        <v>6</v>
      </c>
      <c r="P88" s="9" t="s">
        <v>88</v>
      </c>
      <c r="Q88" s="9">
        <v>0</v>
      </c>
      <c r="R88" s="9">
        <v>25</v>
      </c>
      <c r="S88" s="10">
        <v>0</v>
      </c>
      <c r="T88" s="10">
        <v>0</v>
      </c>
      <c r="U88" s="10">
        <f t="shared" si="1"/>
        <v>0</v>
      </c>
      <c r="V88" s="9">
        <v>14.79</v>
      </c>
      <c r="W88" s="10">
        <f t="shared" si="2"/>
        <v>0</v>
      </c>
      <c r="X88" s="10">
        <v>0</v>
      </c>
      <c r="Y88" s="10">
        <v>0</v>
      </c>
      <c r="Z88" s="10">
        <v>0</v>
      </c>
      <c r="AA88" s="10">
        <v>0</v>
      </c>
      <c r="AB88" s="9">
        <v>2</v>
      </c>
      <c r="AC88" s="9">
        <f t="shared" si="3"/>
        <v>3</v>
      </c>
      <c r="AD88" s="9">
        <v>0.5</v>
      </c>
      <c r="AE88" s="9">
        <v>0.5</v>
      </c>
      <c r="AF88" s="9">
        <v>1.2500000000000001E-2</v>
      </c>
      <c r="AG88" s="9">
        <v>27.9</v>
      </c>
      <c r="AH88" s="9">
        <v>1.2E-2</v>
      </c>
      <c r="AI88" s="13">
        <v>6</v>
      </c>
      <c r="AJ88" s="9">
        <f t="shared" si="4"/>
        <v>0</v>
      </c>
      <c r="AK88" s="9">
        <v>24</v>
      </c>
      <c r="AL88" s="9">
        <v>59.1</v>
      </c>
      <c r="AM88" s="9">
        <v>8.9600000000000009</v>
      </c>
      <c r="AN88" s="15">
        <v>0.6</v>
      </c>
      <c r="AO88" s="9">
        <f t="shared" si="41"/>
        <v>0.9</v>
      </c>
      <c r="AP88" s="9">
        <v>8.5</v>
      </c>
      <c r="AQ88" s="9">
        <f t="shared" si="35"/>
        <v>0.1</v>
      </c>
      <c r="AR88" s="9">
        <v>2.5</v>
      </c>
      <c r="AS88" s="9">
        <v>0.6</v>
      </c>
      <c r="AT88" s="9">
        <v>0.4</v>
      </c>
      <c r="AU88" s="9">
        <v>38</v>
      </c>
      <c r="AV88" s="15">
        <v>0.6</v>
      </c>
      <c r="AW88" s="12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59.1</v>
      </c>
      <c r="BD88" s="9">
        <v>22.08</v>
      </c>
      <c r="BE88" s="9">
        <v>7</v>
      </c>
      <c r="BF88" s="9">
        <f t="shared" si="8"/>
        <v>0.3</v>
      </c>
      <c r="BG88" s="9">
        <f t="shared" si="32"/>
        <v>2</v>
      </c>
      <c r="BH88" s="9">
        <v>7</v>
      </c>
      <c r="BI88" s="9">
        <f t="shared" si="10"/>
        <v>0.3</v>
      </c>
      <c r="BJ88" s="9">
        <v>2</v>
      </c>
      <c r="BK88" s="9">
        <v>0</v>
      </c>
      <c r="BL88" s="15">
        <v>7</v>
      </c>
      <c r="BM88" s="14">
        <v>0.33</v>
      </c>
      <c r="BN88" s="8">
        <v>0</v>
      </c>
      <c r="BO88" s="14">
        <v>0</v>
      </c>
      <c r="BP88" s="14">
        <v>0</v>
      </c>
      <c r="BQ88" s="14">
        <f t="shared" si="42"/>
        <v>0.3</v>
      </c>
      <c r="BR88" s="15">
        <v>0</v>
      </c>
      <c r="BS88" s="15">
        <f t="shared" si="29"/>
        <v>5.8999999999999997E-2</v>
      </c>
      <c r="BT88" s="14">
        <v>0</v>
      </c>
      <c r="BU88" s="14">
        <v>0</v>
      </c>
      <c r="BV88" s="15">
        <v>443.3</v>
      </c>
      <c r="BW88" s="15">
        <v>0.48499999999999999</v>
      </c>
      <c r="BX88" s="15">
        <f t="shared" si="13"/>
        <v>0</v>
      </c>
      <c r="BY88" s="14">
        <f t="shared" si="14"/>
        <v>46.5</v>
      </c>
      <c r="BZ88" s="14">
        <f t="shared" si="15"/>
        <v>0</v>
      </c>
      <c r="CA88" s="14">
        <f t="shared" si="16"/>
        <v>0</v>
      </c>
      <c r="CB88" s="14">
        <f t="shared" si="17"/>
        <v>46.5</v>
      </c>
      <c r="CC88" s="15">
        <f t="shared" si="18"/>
        <v>0.70599999999999996</v>
      </c>
      <c r="CD88" s="14">
        <f t="shared" si="19"/>
        <v>32.83</v>
      </c>
      <c r="CE88" s="14">
        <f t="shared" si="20"/>
        <v>0.98</v>
      </c>
      <c r="CF88" s="14">
        <f t="shared" si="21"/>
        <v>32.17</v>
      </c>
      <c r="CG88" s="14">
        <f t="shared" si="22"/>
        <v>79</v>
      </c>
    </row>
    <row r="89" spans="1:85" ht="13.2" x14ac:dyDescent="0.25">
      <c r="A89" s="8">
        <v>460793</v>
      </c>
      <c r="B89" s="9" t="s">
        <v>187</v>
      </c>
      <c r="C89" s="9" t="s">
        <v>179</v>
      </c>
      <c r="D89" s="9">
        <v>0</v>
      </c>
      <c r="E89" s="9">
        <v>1</v>
      </c>
      <c r="F89" s="9">
        <v>1</v>
      </c>
      <c r="G89" s="9">
        <v>0</v>
      </c>
      <c r="H89" s="9">
        <v>28</v>
      </c>
      <c r="I89" s="9">
        <v>28</v>
      </c>
      <c r="J89" s="11">
        <f t="shared" si="0"/>
        <v>0</v>
      </c>
      <c r="K89" s="10">
        <v>20</v>
      </c>
      <c r="L89" s="11">
        <v>2.8</v>
      </c>
      <c r="M89" s="11">
        <v>0.2</v>
      </c>
      <c r="N89" s="11" t="s">
        <v>180</v>
      </c>
      <c r="O89" s="11">
        <v>6</v>
      </c>
      <c r="P89" s="9" t="s">
        <v>88</v>
      </c>
      <c r="Q89" s="9">
        <v>0</v>
      </c>
      <c r="R89" s="9">
        <v>33</v>
      </c>
      <c r="S89" s="10">
        <v>0</v>
      </c>
      <c r="T89" s="10">
        <v>25.26</v>
      </c>
      <c r="U89" s="10">
        <f t="shared" si="1"/>
        <v>0.5</v>
      </c>
      <c r="V89" s="9">
        <v>16.55</v>
      </c>
      <c r="W89" s="10">
        <f t="shared" si="2"/>
        <v>0</v>
      </c>
      <c r="X89" s="10">
        <v>30</v>
      </c>
      <c r="Y89" s="10">
        <v>35</v>
      </c>
      <c r="Z89" s="10">
        <v>0</v>
      </c>
      <c r="AA89" s="10">
        <v>0</v>
      </c>
      <c r="AB89" s="9">
        <v>10.75</v>
      </c>
      <c r="AC89" s="9">
        <f t="shared" si="3"/>
        <v>3</v>
      </c>
      <c r="AD89" s="9">
        <v>2</v>
      </c>
      <c r="AE89" s="9">
        <v>0.5</v>
      </c>
      <c r="AF89" s="9">
        <v>1.2500000000000001E-2</v>
      </c>
      <c r="AG89" s="9">
        <v>100</v>
      </c>
      <c r="AH89" s="9">
        <v>1.0999999999999999E-2</v>
      </c>
      <c r="AI89" s="13">
        <v>8</v>
      </c>
      <c r="AJ89" s="9">
        <f t="shared" si="4"/>
        <v>0</v>
      </c>
      <c r="AK89" s="9">
        <v>38</v>
      </c>
      <c r="AL89" s="9">
        <v>99.1</v>
      </c>
      <c r="AM89" s="9">
        <v>9.68</v>
      </c>
      <c r="AN89" s="15">
        <v>0.5</v>
      </c>
      <c r="AO89" s="9">
        <f t="shared" si="41"/>
        <v>1</v>
      </c>
      <c r="AP89" s="9">
        <v>9</v>
      </c>
      <c r="AQ89" s="9">
        <f t="shared" si="35"/>
        <v>0.4</v>
      </c>
      <c r="AR89" s="9">
        <v>4.5</v>
      </c>
      <c r="AS89" s="9">
        <v>0.8</v>
      </c>
      <c r="AT89" s="9">
        <v>0.53</v>
      </c>
      <c r="AU89" s="9">
        <v>35</v>
      </c>
      <c r="AV89" s="15">
        <v>0.6</v>
      </c>
      <c r="AW89" s="12">
        <v>20</v>
      </c>
      <c r="AX89" s="9">
        <v>0.2</v>
      </c>
      <c r="AY89" s="9">
        <v>0</v>
      </c>
      <c r="AZ89" s="9">
        <v>0</v>
      </c>
      <c r="BA89" s="9">
        <v>0</v>
      </c>
      <c r="BB89" s="9">
        <v>0</v>
      </c>
      <c r="BC89" s="9">
        <v>99.1</v>
      </c>
      <c r="BD89" s="9">
        <v>25.26</v>
      </c>
      <c r="BE89" s="9">
        <v>7.5</v>
      </c>
      <c r="BF89" s="9">
        <f t="shared" si="8"/>
        <v>0.4</v>
      </c>
      <c r="BG89" s="9">
        <f t="shared" si="32"/>
        <v>2</v>
      </c>
      <c r="BH89" s="9">
        <v>7</v>
      </c>
      <c r="BI89" s="9">
        <f t="shared" si="10"/>
        <v>0.3</v>
      </c>
      <c r="BJ89" s="9">
        <v>2</v>
      </c>
      <c r="BK89" s="9">
        <v>0</v>
      </c>
      <c r="BL89" s="15">
        <v>7</v>
      </c>
      <c r="BM89" s="14">
        <v>0.33</v>
      </c>
      <c r="BN89" s="8">
        <v>0.8</v>
      </c>
      <c r="BO89" s="14">
        <v>0</v>
      </c>
      <c r="BP89" s="14">
        <v>0</v>
      </c>
      <c r="BQ89" s="14">
        <f t="shared" si="42"/>
        <v>0.4</v>
      </c>
      <c r="BR89" s="15">
        <v>0</v>
      </c>
      <c r="BS89" s="15">
        <f t="shared" si="29"/>
        <v>1.3620000000000001</v>
      </c>
      <c r="BT89" s="14">
        <v>0</v>
      </c>
      <c r="BU89" s="14">
        <v>0</v>
      </c>
      <c r="BV89" s="15">
        <v>763.8</v>
      </c>
      <c r="BW89" s="15">
        <v>0.83099999999999996</v>
      </c>
      <c r="BX89" s="15">
        <f t="shared" si="13"/>
        <v>0</v>
      </c>
      <c r="BY89" s="14">
        <f t="shared" si="14"/>
        <v>53.900000000000006</v>
      </c>
      <c r="BZ89" s="14">
        <f t="shared" si="15"/>
        <v>6.6669999999999998</v>
      </c>
      <c r="CA89" s="14">
        <f t="shared" si="16"/>
        <v>0</v>
      </c>
      <c r="CB89" s="14">
        <f t="shared" si="17"/>
        <v>60.567000000000007</v>
      </c>
      <c r="CC89" s="15">
        <f t="shared" si="18"/>
        <v>0.83599999999999997</v>
      </c>
      <c r="CD89" s="14">
        <f t="shared" si="19"/>
        <v>50.63</v>
      </c>
      <c r="CE89" s="14">
        <f t="shared" si="20"/>
        <v>0.86</v>
      </c>
      <c r="CF89" s="14">
        <f t="shared" si="21"/>
        <v>43.54</v>
      </c>
      <c r="CG89" s="14">
        <f t="shared" si="22"/>
        <v>42</v>
      </c>
    </row>
    <row r="90" spans="1:85" ht="13.2" x14ac:dyDescent="0.25">
      <c r="A90" s="8">
        <v>1350794</v>
      </c>
      <c r="B90" s="9" t="s">
        <v>188</v>
      </c>
      <c r="C90" s="9" t="s">
        <v>179</v>
      </c>
      <c r="D90" s="9">
        <v>0</v>
      </c>
      <c r="E90" s="9">
        <v>1</v>
      </c>
      <c r="F90" s="9">
        <v>0</v>
      </c>
      <c r="G90" s="9">
        <v>0</v>
      </c>
      <c r="H90" s="9">
        <v>29</v>
      </c>
      <c r="I90" s="9">
        <v>20</v>
      </c>
      <c r="J90" s="11">
        <f t="shared" si="0"/>
        <v>0</v>
      </c>
      <c r="K90" s="10">
        <v>0</v>
      </c>
      <c r="L90" s="11">
        <v>0</v>
      </c>
      <c r="M90" s="11">
        <v>0.1</v>
      </c>
      <c r="N90" s="11" t="s">
        <v>180</v>
      </c>
      <c r="O90" s="11">
        <v>6</v>
      </c>
      <c r="P90" s="9" t="s">
        <v>88</v>
      </c>
      <c r="Q90" s="9">
        <v>0</v>
      </c>
      <c r="R90" s="9">
        <v>28</v>
      </c>
      <c r="S90" s="10">
        <v>0</v>
      </c>
      <c r="T90" s="10">
        <v>0</v>
      </c>
      <c r="U90" s="10">
        <f t="shared" si="1"/>
        <v>0</v>
      </c>
      <c r="V90" s="9">
        <v>16.55</v>
      </c>
      <c r="W90" s="10">
        <f t="shared" si="2"/>
        <v>0</v>
      </c>
      <c r="X90" s="10">
        <v>0</v>
      </c>
      <c r="Y90" s="10">
        <v>0</v>
      </c>
      <c r="Z90" s="10">
        <v>0</v>
      </c>
      <c r="AA90" s="10">
        <v>0</v>
      </c>
      <c r="AB90" s="9">
        <v>6.5</v>
      </c>
      <c r="AC90" s="9">
        <f t="shared" si="3"/>
        <v>3</v>
      </c>
      <c r="AD90" s="9">
        <v>1</v>
      </c>
      <c r="AE90" s="9">
        <v>0.6</v>
      </c>
      <c r="AF90" s="9">
        <v>1.4999999999999999E-2</v>
      </c>
      <c r="AG90" s="9">
        <v>87.5</v>
      </c>
      <c r="AH90" s="9">
        <v>1.2E-2</v>
      </c>
      <c r="AI90" s="13">
        <v>7</v>
      </c>
      <c r="AJ90" s="9">
        <f t="shared" si="4"/>
        <v>0</v>
      </c>
      <c r="AK90" s="9">
        <v>38</v>
      </c>
      <c r="AL90" s="9">
        <v>104.5</v>
      </c>
      <c r="AM90" s="9">
        <v>9.42</v>
      </c>
      <c r="AN90" s="15">
        <v>0.6</v>
      </c>
      <c r="AO90" s="9">
        <f t="shared" si="41"/>
        <v>0.9</v>
      </c>
      <c r="AP90" s="9">
        <v>8.5</v>
      </c>
      <c r="AQ90" s="9">
        <f t="shared" si="35"/>
        <v>0.3</v>
      </c>
      <c r="AR90" s="9">
        <v>3.5</v>
      </c>
      <c r="AS90" s="9">
        <v>0.6</v>
      </c>
      <c r="AT90" s="9">
        <v>0.4</v>
      </c>
      <c r="AU90" s="9">
        <v>34</v>
      </c>
      <c r="AV90" s="15">
        <v>0.5</v>
      </c>
      <c r="AW90" s="12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104.5</v>
      </c>
      <c r="BD90" s="9">
        <v>26</v>
      </c>
      <c r="BE90" s="9">
        <v>7</v>
      </c>
      <c r="BF90" s="9">
        <f t="shared" si="8"/>
        <v>0.3</v>
      </c>
      <c r="BG90" s="9">
        <f t="shared" si="32"/>
        <v>2</v>
      </c>
      <c r="BH90" s="9">
        <v>6</v>
      </c>
      <c r="BI90" s="9">
        <f t="shared" si="10"/>
        <v>0</v>
      </c>
      <c r="BJ90" s="9">
        <v>2</v>
      </c>
      <c r="BK90" s="9">
        <v>0</v>
      </c>
      <c r="BL90" s="15">
        <v>7</v>
      </c>
      <c r="BM90" s="14">
        <v>0.33</v>
      </c>
      <c r="BN90" s="8">
        <v>0</v>
      </c>
      <c r="BO90" s="14">
        <v>0</v>
      </c>
      <c r="BP90" s="14">
        <v>0</v>
      </c>
      <c r="BQ90" s="14">
        <f t="shared" si="42"/>
        <v>0.3</v>
      </c>
      <c r="BR90" s="15">
        <v>0</v>
      </c>
      <c r="BS90" s="15">
        <f t="shared" si="29"/>
        <v>5.8999999999999997E-2</v>
      </c>
      <c r="BT90" s="14">
        <v>0</v>
      </c>
      <c r="BU90" s="14">
        <v>0</v>
      </c>
      <c r="BV90" s="15">
        <v>806.5</v>
      </c>
      <c r="BW90" s="15">
        <v>0.879</v>
      </c>
      <c r="BX90" s="15">
        <f t="shared" si="13"/>
        <v>0</v>
      </c>
      <c r="BY90" s="14">
        <f t="shared" si="14"/>
        <v>45</v>
      </c>
      <c r="BZ90" s="14">
        <f t="shared" si="15"/>
        <v>0</v>
      </c>
      <c r="CA90" s="14">
        <f t="shared" si="16"/>
        <v>0</v>
      </c>
      <c r="CB90" s="14">
        <f t="shared" si="17"/>
        <v>45</v>
      </c>
      <c r="CC90" s="15">
        <f t="shared" si="18"/>
        <v>0.70599999999999996</v>
      </c>
      <c r="CD90" s="14">
        <f t="shared" si="19"/>
        <v>31.77</v>
      </c>
      <c r="CE90" s="14">
        <f t="shared" si="20"/>
        <v>0.94</v>
      </c>
      <c r="CF90" s="14">
        <f t="shared" si="21"/>
        <v>29.86</v>
      </c>
      <c r="CG90" s="14">
        <f t="shared" si="22"/>
        <v>98</v>
      </c>
    </row>
    <row r="91" spans="1:85" ht="13.2" x14ac:dyDescent="0.25">
      <c r="A91" s="8">
        <v>1350793</v>
      </c>
      <c r="B91" s="9" t="s">
        <v>189</v>
      </c>
      <c r="C91" s="9" t="s">
        <v>179</v>
      </c>
      <c r="D91" s="9">
        <v>0</v>
      </c>
      <c r="E91" s="9">
        <v>1</v>
      </c>
      <c r="F91" s="9">
        <v>0</v>
      </c>
      <c r="G91" s="9">
        <v>0</v>
      </c>
      <c r="H91" s="9">
        <v>24</v>
      </c>
      <c r="I91" s="9">
        <v>22</v>
      </c>
      <c r="J91" s="11">
        <f t="shared" si="0"/>
        <v>0</v>
      </c>
      <c r="K91" s="10">
        <v>0</v>
      </c>
      <c r="L91" s="11">
        <v>0</v>
      </c>
      <c r="M91" s="11">
        <v>0.1</v>
      </c>
      <c r="N91" s="11" t="s">
        <v>180</v>
      </c>
      <c r="O91" s="11">
        <v>6</v>
      </c>
      <c r="P91" s="9" t="s">
        <v>88</v>
      </c>
      <c r="Q91" s="9">
        <v>0</v>
      </c>
      <c r="R91" s="9">
        <v>25</v>
      </c>
      <c r="S91" s="10">
        <v>0</v>
      </c>
      <c r="T91" s="10">
        <v>0</v>
      </c>
      <c r="U91" s="10">
        <f t="shared" si="1"/>
        <v>0</v>
      </c>
      <c r="V91" s="9">
        <v>18.63</v>
      </c>
      <c r="W91" s="10">
        <f t="shared" si="2"/>
        <v>0</v>
      </c>
      <c r="X91" s="10">
        <v>0</v>
      </c>
      <c r="Y91" s="10">
        <v>0</v>
      </c>
      <c r="Z91" s="10">
        <v>0</v>
      </c>
      <c r="AA91" s="10">
        <v>0</v>
      </c>
      <c r="AB91" s="9">
        <v>7.4</v>
      </c>
      <c r="AC91" s="9">
        <f t="shared" si="3"/>
        <v>3</v>
      </c>
      <c r="AD91" s="9">
        <v>0.5</v>
      </c>
      <c r="AE91" s="9">
        <v>0.5</v>
      </c>
      <c r="AF91" s="9">
        <v>1.2500000000000001E-2</v>
      </c>
      <c r="AG91" s="9">
        <v>60</v>
      </c>
      <c r="AH91" s="9">
        <v>1.0999999999999999E-2</v>
      </c>
      <c r="AI91" s="13">
        <v>5</v>
      </c>
      <c r="AJ91" s="9">
        <f t="shared" si="4"/>
        <v>0</v>
      </c>
      <c r="AK91" s="9">
        <v>27</v>
      </c>
      <c r="AL91" s="9">
        <v>83.5</v>
      </c>
      <c r="AM91" s="9">
        <v>9.65</v>
      </c>
      <c r="AN91" s="15">
        <v>0.5</v>
      </c>
      <c r="AO91" s="9">
        <f t="shared" si="41"/>
        <v>0.9</v>
      </c>
      <c r="AP91" s="9">
        <v>8.5</v>
      </c>
      <c r="AQ91" s="9">
        <f t="shared" si="35"/>
        <v>0.3</v>
      </c>
      <c r="AR91" s="9">
        <v>3.5</v>
      </c>
      <c r="AS91" s="9">
        <v>0.8</v>
      </c>
      <c r="AT91" s="9">
        <v>0.53</v>
      </c>
      <c r="AU91" s="9">
        <v>34</v>
      </c>
      <c r="AV91" s="15">
        <v>0.5</v>
      </c>
      <c r="AW91" s="12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83.5</v>
      </c>
      <c r="BD91" s="9">
        <v>29.96</v>
      </c>
      <c r="BE91" s="9">
        <v>7</v>
      </c>
      <c r="BF91" s="9">
        <f t="shared" si="8"/>
        <v>0.3</v>
      </c>
      <c r="BG91" s="9">
        <f t="shared" si="32"/>
        <v>2</v>
      </c>
      <c r="BH91" s="9">
        <v>7</v>
      </c>
      <c r="BI91" s="9">
        <f t="shared" si="10"/>
        <v>0.3</v>
      </c>
      <c r="BJ91" s="9">
        <v>2</v>
      </c>
      <c r="BK91" s="9">
        <v>0</v>
      </c>
      <c r="BL91" s="15">
        <v>7</v>
      </c>
      <c r="BM91" s="14">
        <v>0.33</v>
      </c>
      <c r="BN91" s="8">
        <v>0</v>
      </c>
      <c r="BO91" s="14">
        <v>0</v>
      </c>
      <c r="BP91" s="14">
        <v>0</v>
      </c>
      <c r="BQ91" s="14">
        <f t="shared" si="42"/>
        <v>0.3</v>
      </c>
      <c r="BR91" s="15">
        <v>0</v>
      </c>
      <c r="BS91" s="15">
        <f t="shared" si="29"/>
        <v>5.8999999999999997E-2</v>
      </c>
      <c r="BT91" s="14">
        <v>0</v>
      </c>
      <c r="BU91" s="14">
        <v>0</v>
      </c>
      <c r="BV91" s="15">
        <v>638.5</v>
      </c>
      <c r="BW91" s="15">
        <v>0.69599999999999995</v>
      </c>
      <c r="BX91" s="15">
        <f t="shared" si="13"/>
        <v>0</v>
      </c>
      <c r="BY91" s="14">
        <f t="shared" si="14"/>
        <v>47.900000000000006</v>
      </c>
      <c r="BZ91" s="14">
        <f t="shared" si="15"/>
        <v>0</v>
      </c>
      <c r="CA91" s="14">
        <f t="shared" si="16"/>
        <v>0</v>
      </c>
      <c r="CB91" s="14">
        <f t="shared" si="17"/>
        <v>47.900000000000006</v>
      </c>
      <c r="CC91" s="15">
        <f t="shared" si="18"/>
        <v>0.70599999999999996</v>
      </c>
      <c r="CD91" s="14">
        <f t="shared" si="19"/>
        <v>33.82</v>
      </c>
      <c r="CE91" s="14">
        <f t="shared" si="20"/>
        <v>0.94</v>
      </c>
      <c r="CF91" s="14">
        <f t="shared" si="21"/>
        <v>31.79</v>
      </c>
      <c r="CG91" s="14">
        <f t="shared" si="22"/>
        <v>81</v>
      </c>
    </row>
    <row r="92" spans="1:85" ht="13.2" x14ac:dyDescent="0.25">
      <c r="A92" s="8">
        <v>748207</v>
      </c>
      <c r="B92" s="9" t="s">
        <v>190</v>
      </c>
      <c r="C92" s="9" t="s">
        <v>179</v>
      </c>
      <c r="D92" s="9">
        <v>0</v>
      </c>
      <c r="E92" s="9">
        <v>1</v>
      </c>
      <c r="F92" s="9">
        <v>0</v>
      </c>
      <c r="G92" s="9">
        <v>0</v>
      </c>
      <c r="H92" s="9">
        <v>11</v>
      </c>
      <c r="I92" s="9">
        <v>19</v>
      </c>
      <c r="J92" s="11">
        <f t="shared" si="0"/>
        <v>0</v>
      </c>
      <c r="K92" s="10">
        <v>0</v>
      </c>
      <c r="L92" s="11">
        <v>0</v>
      </c>
      <c r="M92" s="11">
        <v>0.1</v>
      </c>
      <c r="N92" s="11" t="s">
        <v>180</v>
      </c>
      <c r="O92" s="11">
        <v>6</v>
      </c>
      <c r="P92" s="9" t="s">
        <v>191</v>
      </c>
      <c r="Q92" s="9">
        <v>1</v>
      </c>
      <c r="R92" s="9">
        <v>30</v>
      </c>
      <c r="S92" s="10">
        <v>0</v>
      </c>
      <c r="T92" s="10">
        <v>0</v>
      </c>
      <c r="U92" s="10">
        <f t="shared" si="1"/>
        <v>0</v>
      </c>
      <c r="V92" s="9">
        <v>16.53</v>
      </c>
      <c r="W92" s="10">
        <f t="shared" si="2"/>
        <v>0</v>
      </c>
      <c r="X92" s="10">
        <v>0</v>
      </c>
      <c r="Y92" s="10">
        <v>0</v>
      </c>
      <c r="Z92" s="10">
        <v>0</v>
      </c>
      <c r="AA92" s="10">
        <v>0</v>
      </c>
      <c r="AB92" s="9">
        <v>2</v>
      </c>
      <c r="AC92" s="9">
        <f t="shared" si="3"/>
        <v>2</v>
      </c>
      <c r="AD92" s="9">
        <v>2</v>
      </c>
      <c r="AE92" s="9">
        <v>0.5</v>
      </c>
      <c r="AF92" s="9">
        <v>1.2500000000000001E-2</v>
      </c>
      <c r="AG92" s="9">
        <v>100</v>
      </c>
      <c r="AH92" s="9">
        <v>0.01</v>
      </c>
      <c r="AI92" s="13">
        <v>9</v>
      </c>
      <c r="AJ92" s="9">
        <f t="shared" si="4"/>
        <v>0.1</v>
      </c>
      <c r="AK92" s="9">
        <v>15</v>
      </c>
      <c r="AL92" s="9">
        <v>41.2</v>
      </c>
      <c r="AM92" s="9">
        <v>9.6</v>
      </c>
      <c r="AN92" s="15">
        <v>0.5</v>
      </c>
      <c r="AO92" s="9">
        <f t="shared" si="41"/>
        <v>0.9</v>
      </c>
      <c r="AP92" s="9">
        <v>8.5</v>
      </c>
      <c r="AQ92" s="9">
        <f t="shared" si="35"/>
        <v>0.3</v>
      </c>
      <c r="AR92" s="9">
        <v>3.5</v>
      </c>
      <c r="AS92" s="9">
        <v>0.8</v>
      </c>
      <c r="AT92" s="9">
        <v>0.53</v>
      </c>
      <c r="AU92" s="9">
        <v>40</v>
      </c>
      <c r="AV92" s="15">
        <v>0.7</v>
      </c>
      <c r="AW92" s="12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41.2</v>
      </c>
      <c r="BD92" s="9">
        <v>26.47</v>
      </c>
      <c r="BE92" s="9">
        <v>7.5</v>
      </c>
      <c r="BF92" s="9">
        <f t="shared" si="8"/>
        <v>0.4</v>
      </c>
      <c r="BG92" s="9">
        <f t="shared" si="32"/>
        <v>2</v>
      </c>
      <c r="BH92" s="9">
        <v>7</v>
      </c>
      <c r="BI92" s="9">
        <f t="shared" si="10"/>
        <v>0.3</v>
      </c>
      <c r="BJ92" s="9">
        <v>2</v>
      </c>
      <c r="BK92" s="9">
        <v>0</v>
      </c>
      <c r="BL92" s="15">
        <v>7</v>
      </c>
      <c r="BM92" s="14">
        <v>0.33</v>
      </c>
      <c r="BN92" s="8">
        <v>0</v>
      </c>
      <c r="BO92" s="14">
        <v>0</v>
      </c>
      <c r="BP92" s="14">
        <v>0</v>
      </c>
      <c r="BQ92" s="14">
        <f t="shared" si="42"/>
        <v>0.4</v>
      </c>
      <c r="BR92" s="15">
        <v>0</v>
      </c>
      <c r="BS92" s="15">
        <f t="shared" si="29"/>
        <v>7.9000000000000001E-2</v>
      </c>
      <c r="BT92" s="14">
        <v>0</v>
      </c>
      <c r="BU92" s="14">
        <v>0</v>
      </c>
      <c r="BV92" s="15">
        <v>300.10000000000002</v>
      </c>
      <c r="BW92" s="15">
        <v>0.33</v>
      </c>
      <c r="BX92" s="15">
        <f t="shared" si="13"/>
        <v>0</v>
      </c>
      <c r="BY92" s="14">
        <f t="shared" si="14"/>
        <v>54.399999999999991</v>
      </c>
      <c r="BZ92" s="14">
        <f t="shared" si="15"/>
        <v>0</v>
      </c>
      <c r="CA92" s="14">
        <f t="shared" si="16"/>
        <v>0</v>
      </c>
      <c r="CB92" s="14">
        <f t="shared" si="17"/>
        <v>54.399999999999991</v>
      </c>
      <c r="CC92" s="15">
        <f t="shared" si="18"/>
        <v>0.70799999999999996</v>
      </c>
      <c r="CD92" s="14">
        <f t="shared" si="19"/>
        <v>38.520000000000003</v>
      </c>
      <c r="CE92" s="14">
        <f t="shared" si="20"/>
        <v>0.94</v>
      </c>
      <c r="CF92" s="14">
        <f t="shared" si="21"/>
        <v>36.21</v>
      </c>
      <c r="CG92" s="14">
        <f t="shared" si="22"/>
        <v>58</v>
      </c>
    </row>
    <row r="93" spans="1:85" ht="13.2" x14ac:dyDescent="0.25">
      <c r="A93" s="8">
        <v>475281</v>
      </c>
      <c r="B93" s="9" t="s">
        <v>192</v>
      </c>
      <c r="C93" s="9" t="s">
        <v>179</v>
      </c>
      <c r="D93" s="9">
        <v>0</v>
      </c>
      <c r="E93" s="9">
        <v>1</v>
      </c>
      <c r="F93" s="9">
        <v>0</v>
      </c>
      <c r="G93" s="9">
        <v>0</v>
      </c>
      <c r="H93" s="9">
        <v>28</v>
      </c>
      <c r="I93" s="9">
        <v>23</v>
      </c>
      <c r="J93" s="11">
        <f t="shared" si="0"/>
        <v>0</v>
      </c>
      <c r="K93" s="10">
        <v>0</v>
      </c>
      <c r="L93" s="11">
        <v>0</v>
      </c>
      <c r="M93" s="11">
        <v>0.1</v>
      </c>
      <c r="N93" s="11" t="s">
        <v>180</v>
      </c>
      <c r="O93" s="11">
        <v>6</v>
      </c>
      <c r="P93" s="9" t="s">
        <v>88</v>
      </c>
      <c r="Q93" s="9">
        <v>0</v>
      </c>
      <c r="R93" s="9">
        <v>24</v>
      </c>
      <c r="S93" s="10">
        <v>0</v>
      </c>
      <c r="T93" s="10">
        <v>0</v>
      </c>
      <c r="U93" s="10">
        <f t="shared" si="1"/>
        <v>0</v>
      </c>
      <c r="V93" s="9">
        <v>16.86</v>
      </c>
      <c r="W93" s="10">
        <f t="shared" si="2"/>
        <v>0</v>
      </c>
      <c r="X93" s="10">
        <v>0</v>
      </c>
      <c r="Y93" s="10">
        <v>0</v>
      </c>
      <c r="Z93" s="10">
        <v>0</v>
      </c>
      <c r="AA93" s="10">
        <v>0</v>
      </c>
      <c r="AB93" s="9">
        <v>8</v>
      </c>
      <c r="AC93" s="9">
        <f t="shared" si="3"/>
        <v>3</v>
      </c>
      <c r="AD93" s="9">
        <v>2</v>
      </c>
      <c r="AE93" s="9">
        <v>0.5</v>
      </c>
      <c r="AF93" s="9">
        <v>1.2500000000000001E-2</v>
      </c>
      <c r="AG93" s="9">
        <v>5</v>
      </c>
      <c r="AH93" s="9">
        <v>1.2E-2</v>
      </c>
      <c r="AI93" s="13">
        <v>8</v>
      </c>
      <c r="AJ93" s="9">
        <f t="shared" si="4"/>
        <v>0</v>
      </c>
      <c r="AK93" s="9">
        <v>36</v>
      </c>
      <c r="AL93" s="9">
        <v>101.1</v>
      </c>
      <c r="AM93" s="9">
        <v>9.86</v>
      </c>
      <c r="AN93" s="15">
        <v>0.5</v>
      </c>
      <c r="AO93" s="9">
        <f t="shared" si="41"/>
        <v>0.9</v>
      </c>
      <c r="AP93" s="9">
        <v>8</v>
      </c>
      <c r="AQ93" s="9">
        <f t="shared" si="35"/>
        <v>0.3</v>
      </c>
      <c r="AR93" s="9">
        <v>3.5</v>
      </c>
      <c r="AS93" s="9">
        <v>0.75</v>
      </c>
      <c r="AT93" s="9">
        <v>0.5</v>
      </c>
      <c r="AU93" s="9">
        <v>37</v>
      </c>
      <c r="AV93" s="15">
        <v>0.6</v>
      </c>
      <c r="AW93" s="12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101.1</v>
      </c>
      <c r="BD93" s="9">
        <v>27.72</v>
      </c>
      <c r="BE93" s="9">
        <v>7</v>
      </c>
      <c r="BF93" s="9">
        <f t="shared" si="8"/>
        <v>0.3</v>
      </c>
      <c r="BG93" s="9">
        <f t="shared" si="32"/>
        <v>2</v>
      </c>
      <c r="BH93" s="9">
        <v>6</v>
      </c>
      <c r="BI93" s="9">
        <f t="shared" si="10"/>
        <v>0</v>
      </c>
      <c r="BJ93" s="9">
        <v>2</v>
      </c>
      <c r="BK93" s="9">
        <v>0</v>
      </c>
      <c r="BL93" s="15">
        <v>8</v>
      </c>
      <c r="BM93" s="14">
        <v>0.67</v>
      </c>
      <c r="BN93" s="8">
        <v>0</v>
      </c>
      <c r="BO93" s="14">
        <v>0</v>
      </c>
      <c r="BP93" s="14">
        <v>0</v>
      </c>
      <c r="BQ93" s="14">
        <f t="shared" si="42"/>
        <v>0.3</v>
      </c>
      <c r="BR93" s="15">
        <v>0</v>
      </c>
      <c r="BS93" s="15">
        <f t="shared" si="29"/>
        <v>5.8999999999999997E-2</v>
      </c>
      <c r="BT93" s="14">
        <v>0</v>
      </c>
      <c r="BU93" s="14">
        <v>0</v>
      </c>
      <c r="BV93" s="15">
        <v>774.3</v>
      </c>
      <c r="BW93" s="15">
        <v>0.84299999999999997</v>
      </c>
      <c r="BX93" s="15">
        <f t="shared" si="13"/>
        <v>0</v>
      </c>
      <c r="BY93" s="14">
        <f t="shared" si="14"/>
        <v>48.5</v>
      </c>
      <c r="BZ93" s="14">
        <f t="shared" si="15"/>
        <v>0</v>
      </c>
      <c r="CA93" s="14">
        <f t="shared" si="16"/>
        <v>0</v>
      </c>
      <c r="CB93" s="14">
        <f t="shared" si="17"/>
        <v>48.5</v>
      </c>
      <c r="CC93" s="15">
        <f t="shared" si="18"/>
        <v>0.70599999999999996</v>
      </c>
      <c r="CD93" s="14">
        <f t="shared" si="19"/>
        <v>34.24</v>
      </c>
      <c r="CE93" s="14">
        <f t="shared" si="20"/>
        <v>0.94</v>
      </c>
      <c r="CF93" s="14">
        <f t="shared" si="21"/>
        <v>32.19</v>
      </c>
      <c r="CG93" s="14">
        <f t="shared" si="22"/>
        <v>78</v>
      </c>
    </row>
    <row r="94" spans="1:85" ht="13.2" x14ac:dyDescent="0.25">
      <c r="A94" s="8">
        <v>604955</v>
      </c>
      <c r="B94" s="9" t="s">
        <v>193</v>
      </c>
      <c r="C94" s="9" t="s">
        <v>179</v>
      </c>
      <c r="D94" s="9">
        <v>0</v>
      </c>
      <c r="E94" s="9">
        <v>1</v>
      </c>
      <c r="F94" s="9">
        <v>0</v>
      </c>
      <c r="G94" s="9">
        <v>0</v>
      </c>
      <c r="H94" s="9">
        <v>28</v>
      </c>
      <c r="I94" s="9">
        <v>20</v>
      </c>
      <c r="J94" s="11">
        <f t="shared" si="0"/>
        <v>0</v>
      </c>
      <c r="K94" s="10">
        <v>0</v>
      </c>
      <c r="L94" s="11">
        <v>0</v>
      </c>
      <c r="M94" s="11">
        <v>0.8</v>
      </c>
      <c r="N94" s="11" t="s">
        <v>180</v>
      </c>
      <c r="O94" s="11">
        <v>6</v>
      </c>
      <c r="P94" s="9" t="s">
        <v>88</v>
      </c>
      <c r="Q94" s="9">
        <v>0</v>
      </c>
      <c r="R94" s="9">
        <v>32</v>
      </c>
      <c r="S94" s="10">
        <v>0</v>
      </c>
      <c r="T94" s="11">
        <v>0</v>
      </c>
      <c r="U94" s="10">
        <f t="shared" si="1"/>
        <v>0</v>
      </c>
      <c r="V94" s="9">
        <v>15.02</v>
      </c>
      <c r="W94" s="10">
        <f t="shared" si="2"/>
        <v>0</v>
      </c>
      <c r="X94" s="10">
        <v>0</v>
      </c>
      <c r="Y94" s="10">
        <v>0</v>
      </c>
      <c r="Z94" s="10">
        <v>0</v>
      </c>
      <c r="AA94" s="10">
        <v>0</v>
      </c>
      <c r="AB94" s="9">
        <v>8</v>
      </c>
      <c r="AC94" s="9">
        <f t="shared" si="3"/>
        <v>3</v>
      </c>
      <c r="AD94" s="9">
        <v>0.5</v>
      </c>
      <c r="AE94" s="9">
        <v>0.5</v>
      </c>
      <c r="AF94" s="9">
        <v>1.2500000000000001E-2</v>
      </c>
      <c r="AG94" s="9">
        <v>33.299999999999997</v>
      </c>
      <c r="AH94" s="9">
        <v>1.2999999999999999E-2</v>
      </c>
      <c r="AI94" s="13">
        <v>8</v>
      </c>
      <c r="AJ94" s="9">
        <f t="shared" si="4"/>
        <v>0</v>
      </c>
      <c r="AK94" s="9">
        <v>41</v>
      </c>
      <c r="AL94" s="9">
        <v>102.4</v>
      </c>
      <c r="AM94" s="9">
        <v>8.09</v>
      </c>
      <c r="AN94" s="15">
        <v>0.9</v>
      </c>
      <c r="AO94" s="9">
        <f t="shared" si="41"/>
        <v>0.9</v>
      </c>
      <c r="AP94" s="9">
        <v>8.5</v>
      </c>
      <c r="AQ94" s="9">
        <f t="shared" si="35"/>
        <v>0.3</v>
      </c>
      <c r="AR94" s="9">
        <v>4</v>
      </c>
      <c r="AS94" s="9">
        <v>0.7</v>
      </c>
      <c r="AT94" s="9">
        <v>0.47</v>
      </c>
      <c r="AU94" s="9">
        <v>45</v>
      </c>
      <c r="AV94" s="15">
        <v>0.9</v>
      </c>
      <c r="AW94" s="12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102.4</v>
      </c>
      <c r="BD94" s="9">
        <v>20.27</v>
      </c>
      <c r="BE94" s="9">
        <v>7</v>
      </c>
      <c r="BF94" s="9">
        <f t="shared" si="8"/>
        <v>0.3</v>
      </c>
      <c r="BG94" s="9">
        <f t="shared" si="32"/>
        <v>2</v>
      </c>
      <c r="BH94" s="9">
        <v>7</v>
      </c>
      <c r="BI94" s="9">
        <f t="shared" si="10"/>
        <v>0.3</v>
      </c>
      <c r="BJ94" s="9">
        <v>2</v>
      </c>
      <c r="BK94" s="9">
        <v>0</v>
      </c>
      <c r="BL94" s="15">
        <v>8</v>
      </c>
      <c r="BM94" s="14">
        <v>0.67</v>
      </c>
      <c r="BN94" s="8">
        <v>0</v>
      </c>
      <c r="BO94" s="14">
        <v>0</v>
      </c>
      <c r="BP94" s="14">
        <v>0</v>
      </c>
      <c r="BQ94" s="14">
        <f t="shared" si="42"/>
        <v>0.7</v>
      </c>
      <c r="BR94" s="15">
        <v>0</v>
      </c>
      <c r="BS94" s="15">
        <f t="shared" si="29"/>
        <v>0.30399999999999999</v>
      </c>
      <c r="BT94" s="14">
        <v>0</v>
      </c>
      <c r="BU94" s="14">
        <v>0</v>
      </c>
      <c r="BV94" s="15">
        <v>788.2</v>
      </c>
      <c r="BW94" s="15">
        <v>0.85799999999999998</v>
      </c>
      <c r="BX94" s="15">
        <f t="shared" si="13"/>
        <v>0</v>
      </c>
      <c r="BY94" s="14">
        <f t="shared" si="14"/>
        <v>70.09999999999998</v>
      </c>
      <c r="BZ94" s="14">
        <f t="shared" si="15"/>
        <v>0</v>
      </c>
      <c r="CA94" s="14">
        <f t="shared" si="16"/>
        <v>0</v>
      </c>
      <c r="CB94" s="14">
        <f t="shared" si="17"/>
        <v>70.09999999999998</v>
      </c>
      <c r="CC94" s="15">
        <f t="shared" si="18"/>
        <v>0.73</v>
      </c>
      <c r="CD94" s="14">
        <f t="shared" si="19"/>
        <v>51.17</v>
      </c>
      <c r="CE94" s="14">
        <f t="shared" si="20"/>
        <v>0.94</v>
      </c>
      <c r="CF94" s="14">
        <f t="shared" si="21"/>
        <v>48.1</v>
      </c>
      <c r="CG94" s="14">
        <f t="shared" si="22"/>
        <v>32</v>
      </c>
    </row>
    <row r="95" spans="1:85" ht="13.2" x14ac:dyDescent="0.25">
      <c r="A95" s="8">
        <v>1350791</v>
      </c>
      <c r="B95" s="9" t="s">
        <v>194</v>
      </c>
      <c r="C95" s="9" t="s">
        <v>179</v>
      </c>
      <c r="D95" s="9">
        <v>0</v>
      </c>
      <c r="E95" s="9">
        <v>1</v>
      </c>
      <c r="F95" s="9">
        <v>0</v>
      </c>
      <c r="G95" s="9">
        <v>0</v>
      </c>
      <c r="H95" s="9">
        <v>31</v>
      </c>
      <c r="I95" s="9">
        <v>28</v>
      </c>
      <c r="J95" s="11">
        <f t="shared" si="0"/>
        <v>0</v>
      </c>
      <c r="K95" s="10">
        <v>0</v>
      </c>
      <c r="L95" s="11">
        <v>0</v>
      </c>
      <c r="M95" s="11">
        <v>0.1</v>
      </c>
      <c r="N95" s="11" t="s">
        <v>180</v>
      </c>
      <c r="O95" s="11">
        <v>6</v>
      </c>
      <c r="P95" s="9" t="s">
        <v>88</v>
      </c>
      <c r="Q95" s="9">
        <v>0</v>
      </c>
      <c r="R95" s="9">
        <v>35</v>
      </c>
      <c r="S95" s="10">
        <v>0</v>
      </c>
      <c r="T95" s="10">
        <v>0</v>
      </c>
      <c r="U95" s="10">
        <f t="shared" si="1"/>
        <v>0</v>
      </c>
      <c r="V95" s="9">
        <v>17.829999999999998</v>
      </c>
      <c r="W95" s="10">
        <f t="shared" si="2"/>
        <v>0</v>
      </c>
      <c r="X95" s="10">
        <v>0</v>
      </c>
      <c r="Y95" s="10">
        <v>0</v>
      </c>
      <c r="Z95" s="10">
        <v>0</v>
      </c>
      <c r="AA95" s="10">
        <v>0</v>
      </c>
      <c r="AB95" s="9">
        <v>6.5</v>
      </c>
      <c r="AC95" s="9">
        <f t="shared" si="3"/>
        <v>3</v>
      </c>
      <c r="AD95" s="9">
        <v>2</v>
      </c>
      <c r="AE95" s="9">
        <v>0.5</v>
      </c>
      <c r="AF95" s="9">
        <v>1.2500000000000001E-2</v>
      </c>
      <c r="AG95" s="9">
        <v>40.9</v>
      </c>
      <c r="AH95" s="9">
        <v>0.01</v>
      </c>
      <c r="AI95" s="13">
        <v>7</v>
      </c>
      <c r="AJ95" s="9">
        <f t="shared" si="4"/>
        <v>0</v>
      </c>
      <c r="AK95" s="9">
        <v>40</v>
      </c>
      <c r="AL95" s="9">
        <v>118.5</v>
      </c>
      <c r="AM95" s="9">
        <v>8.7799999999999994</v>
      </c>
      <c r="AN95" s="15">
        <v>0.8</v>
      </c>
      <c r="AO95" s="9">
        <f t="shared" si="41"/>
        <v>0.9</v>
      </c>
      <c r="AP95" s="9">
        <v>8</v>
      </c>
      <c r="AQ95" s="9">
        <f t="shared" si="35"/>
        <v>0.5</v>
      </c>
      <c r="AR95" s="9">
        <v>5</v>
      </c>
      <c r="AS95" s="9">
        <v>0.8</v>
      </c>
      <c r="AT95" s="9">
        <v>0.53</v>
      </c>
      <c r="AU95" s="9">
        <v>41</v>
      </c>
      <c r="AV95" s="15">
        <v>0.7</v>
      </c>
      <c r="AW95" s="12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118.5</v>
      </c>
      <c r="BD95" s="9">
        <v>26.08</v>
      </c>
      <c r="BE95" s="9">
        <v>7.5</v>
      </c>
      <c r="BF95" s="9">
        <f t="shared" si="8"/>
        <v>0.4</v>
      </c>
      <c r="BG95" s="9">
        <f t="shared" si="32"/>
        <v>2</v>
      </c>
      <c r="BH95" s="9">
        <v>7</v>
      </c>
      <c r="BI95" s="9">
        <f t="shared" si="10"/>
        <v>0.3</v>
      </c>
      <c r="BJ95" s="9">
        <v>2</v>
      </c>
      <c r="BK95" s="9">
        <v>0</v>
      </c>
      <c r="BL95" s="15">
        <v>7</v>
      </c>
      <c r="BM95" s="14">
        <v>0.33</v>
      </c>
      <c r="BN95" s="8">
        <v>0</v>
      </c>
      <c r="BO95" s="14">
        <v>0</v>
      </c>
      <c r="BP95" s="14">
        <v>0</v>
      </c>
      <c r="BQ95" s="14">
        <f t="shared" si="42"/>
        <v>0.4</v>
      </c>
      <c r="BR95" s="15">
        <v>0</v>
      </c>
      <c r="BS95" s="15">
        <f t="shared" si="29"/>
        <v>6.7000000000000004E-2</v>
      </c>
      <c r="BT95" s="14">
        <v>0</v>
      </c>
      <c r="BU95" s="14">
        <v>0</v>
      </c>
      <c r="BV95" s="15">
        <v>918.5</v>
      </c>
      <c r="BW95" s="15">
        <v>1</v>
      </c>
      <c r="BX95" s="15">
        <f t="shared" si="13"/>
        <v>0</v>
      </c>
      <c r="BY95" s="14">
        <f t="shared" si="14"/>
        <v>57.4</v>
      </c>
      <c r="BZ95" s="14">
        <f t="shared" si="15"/>
        <v>0</v>
      </c>
      <c r="CA95" s="14">
        <f t="shared" si="16"/>
        <v>0</v>
      </c>
      <c r="CB95" s="14">
        <f t="shared" si="17"/>
        <v>57.4</v>
      </c>
      <c r="CC95" s="15">
        <f t="shared" si="18"/>
        <v>0.70699999999999996</v>
      </c>
      <c r="CD95" s="14">
        <f t="shared" si="19"/>
        <v>40.58</v>
      </c>
      <c r="CE95" s="14">
        <f t="shared" si="20"/>
        <v>0.9</v>
      </c>
      <c r="CF95" s="14">
        <f t="shared" si="21"/>
        <v>36.520000000000003</v>
      </c>
      <c r="CG95" s="14">
        <f t="shared" si="22"/>
        <v>53</v>
      </c>
    </row>
    <row r="96" spans="1:85" ht="13.2" x14ac:dyDescent="0.25">
      <c r="A96" s="8">
        <v>424377</v>
      </c>
      <c r="B96" s="9" t="s">
        <v>195</v>
      </c>
      <c r="C96" s="9" t="s">
        <v>179</v>
      </c>
      <c r="D96" s="9">
        <v>0</v>
      </c>
      <c r="E96" s="9">
        <v>1</v>
      </c>
      <c r="F96" s="9">
        <v>0</v>
      </c>
      <c r="G96" s="9">
        <v>0</v>
      </c>
      <c r="H96" s="9">
        <v>19</v>
      </c>
      <c r="I96" s="9">
        <v>18</v>
      </c>
      <c r="J96" s="11">
        <f t="shared" si="0"/>
        <v>0</v>
      </c>
      <c r="K96" s="10">
        <v>0</v>
      </c>
      <c r="L96" s="11">
        <v>0</v>
      </c>
      <c r="M96" s="11">
        <v>0.1</v>
      </c>
      <c r="N96" s="11" t="s">
        <v>180</v>
      </c>
      <c r="O96" s="11">
        <v>6</v>
      </c>
      <c r="P96" s="9" t="s">
        <v>88</v>
      </c>
      <c r="Q96" s="9">
        <v>0</v>
      </c>
      <c r="R96" s="9">
        <v>22</v>
      </c>
      <c r="S96" s="10">
        <v>0</v>
      </c>
      <c r="T96" s="10">
        <v>0</v>
      </c>
      <c r="U96" s="10">
        <f t="shared" si="1"/>
        <v>0</v>
      </c>
      <c r="V96" s="9">
        <v>16.829999999999998</v>
      </c>
      <c r="W96" s="10">
        <f t="shared" si="2"/>
        <v>0</v>
      </c>
      <c r="X96" s="10">
        <v>0</v>
      </c>
      <c r="Y96" s="10">
        <v>0</v>
      </c>
      <c r="Z96" s="10">
        <v>0</v>
      </c>
      <c r="AA96" s="10">
        <v>0</v>
      </c>
      <c r="AB96" s="9">
        <v>4.4000000000000004</v>
      </c>
      <c r="AC96" s="9">
        <f t="shared" si="3"/>
        <v>3</v>
      </c>
      <c r="AD96" s="9">
        <v>0.5</v>
      </c>
      <c r="AE96" s="9">
        <v>0.5</v>
      </c>
      <c r="AF96" s="9">
        <v>1.2500000000000001E-2</v>
      </c>
      <c r="AG96" s="9">
        <v>50</v>
      </c>
      <c r="AH96" s="9">
        <v>1.4999999999999999E-2</v>
      </c>
      <c r="AI96" s="13">
        <v>10</v>
      </c>
      <c r="AJ96" s="9">
        <f t="shared" si="4"/>
        <v>0.1</v>
      </c>
      <c r="AK96" s="9">
        <v>24</v>
      </c>
      <c r="AL96" s="9">
        <v>67.2</v>
      </c>
      <c r="AM96" s="9">
        <v>10.26</v>
      </c>
      <c r="AN96" s="15">
        <v>0.4</v>
      </c>
      <c r="AO96" s="9">
        <f t="shared" si="41"/>
        <v>0.9</v>
      </c>
      <c r="AP96" s="9">
        <v>8.5</v>
      </c>
      <c r="AQ96" s="9">
        <f t="shared" si="35"/>
        <v>0.1</v>
      </c>
      <c r="AR96" s="9">
        <v>2.5</v>
      </c>
      <c r="AS96" s="9">
        <v>0.6</v>
      </c>
      <c r="AT96" s="9">
        <v>0.4</v>
      </c>
      <c r="AU96" s="9">
        <v>34</v>
      </c>
      <c r="AV96" s="15">
        <v>0.5</v>
      </c>
      <c r="AW96" s="12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67.2</v>
      </c>
      <c r="BD96" s="9">
        <v>28.79</v>
      </c>
      <c r="BE96" s="9">
        <v>7.5</v>
      </c>
      <c r="BF96" s="9">
        <f t="shared" si="8"/>
        <v>0.4</v>
      </c>
      <c r="BG96" s="9">
        <f t="shared" si="32"/>
        <v>2</v>
      </c>
      <c r="BH96" s="9">
        <v>6</v>
      </c>
      <c r="BI96" s="9">
        <f t="shared" si="10"/>
        <v>0</v>
      </c>
      <c r="BJ96" s="9">
        <v>3</v>
      </c>
      <c r="BK96" s="9">
        <v>0.14000000000000001</v>
      </c>
      <c r="BL96" s="15">
        <v>6</v>
      </c>
      <c r="BM96" s="14">
        <v>0</v>
      </c>
      <c r="BN96" s="8">
        <v>0</v>
      </c>
      <c r="BO96" s="14">
        <v>0</v>
      </c>
      <c r="BP96" s="14">
        <v>0</v>
      </c>
      <c r="BQ96" s="14">
        <f t="shared" si="42"/>
        <v>0.3</v>
      </c>
      <c r="BR96" s="15">
        <v>0</v>
      </c>
      <c r="BS96" s="15">
        <f t="shared" si="29"/>
        <v>7.9000000000000001E-2</v>
      </c>
      <c r="BT96" s="14">
        <v>0</v>
      </c>
      <c r="BU96" s="14">
        <v>0</v>
      </c>
      <c r="BV96" s="15">
        <v>513.1</v>
      </c>
      <c r="BW96" s="15">
        <v>0.56100000000000005</v>
      </c>
      <c r="BX96" s="15">
        <f t="shared" si="13"/>
        <v>0</v>
      </c>
      <c r="BY96" s="14">
        <f t="shared" si="14"/>
        <v>43</v>
      </c>
      <c r="BZ96" s="14">
        <f t="shared" si="15"/>
        <v>0</v>
      </c>
      <c r="CA96" s="14">
        <f t="shared" si="16"/>
        <v>0</v>
      </c>
      <c r="CB96" s="14">
        <f t="shared" si="17"/>
        <v>43</v>
      </c>
      <c r="CC96" s="15">
        <f t="shared" si="18"/>
        <v>0.70799999999999996</v>
      </c>
      <c r="CD96" s="14">
        <f t="shared" si="19"/>
        <v>30.44</v>
      </c>
      <c r="CE96" s="14">
        <f t="shared" si="20"/>
        <v>0.98</v>
      </c>
      <c r="CF96" s="14">
        <f t="shared" si="21"/>
        <v>29.83</v>
      </c>
      <c r="CG96" s="14">
        <f t="shared" si="22"/>
        <v>99</v>
      </c>
    </row>
    <row r="97" spans="1:85" ht="13.2" x14ac:dyDescent="0.25">
      <c r="A97" s="8">
        <v>1168488</v>
      </c>
      <c r="B97" s="9" t="s">
        <v>196</v>
      </c>
      <c r="C97" s="9" t="s">
        <v>179</v>
      </c>
      <c r="D97" s="9">
        <v>0</v>
      </c>
      <c r="E97" s="9">
        <v>1</v>
      </c>
      <c r="F97" s="9">
        <v>0</v>
      </c>
      <c r="G97" s="9">
        <v>0</v>
      </c>
      <c r="H97" s="9">
        <v>17</v>
      </c>
      <c r="I97" s="9">
        <v>16</v>
      </c>
      <c r="J97" s="11">
        <f t="shared" si="0"/>
        <v>0</v>
      </c>
      <c r="K97" s="10">
        <v>0</v>
      </c>
      <c r="L97" s="11">
        <v>0</v>
      </c>
      <c r="M97" s="11">
        <v>0.1</v>
      </c>
      <c r="N97" s="11" t="s">
        <v>180</v>
      </c>
      <c r="O97" s="11">
        <v>6</v>
      </c>
      <c r="P97" s="9" t="s">
        <v>88</v>
      </c>
      <c r="Q97" s="9">
        <v>0</v>
      </c>
      <c r="R97" s="9">
        <v>35</v>
      </c>
      <c r="S97" s="10">
        <v>0</v>
      </c>
      <c r="T97" s="10">
        <v>0</v>
      </c>
      <c r="U97" s="10">
        <f t="shared" si="1"/>
        <v>0</v>
      </c>
      <c r="V97" s="9">
        <v>15.6</v>
      </c>
      <c r="W97" s="10">
        <f t="shared" si="2"/>
        <v>0</v>
      </c>
      <c r="X97" s="10">
        <v>0</v>
      </c>
      <c r="Y97" s="10">
        <v>0</v>
      </c>
      <c r="Z97" s="10">
        <v>0</v>
      </c>
      <c r="AA97" s="10">
        <v>0</v>
      </c>
      <c r="AB97" s="9">
        <v>3.5</v>
      </c>
      <c r="AC97" s="9">
        <f t="shared" si="3"/>
        <v>3</v>
      </c>
      <c r="AD97" s="9">
        <v>0.5</v>
      </c>
      <c r="AE97" s="9">
        <v>0.5</v>
      </c>
      <c r="AF97" s="9">
        <v>1.2500000000000001E-2</v>
      </c>
      <c r="AG97" s="9">
        <v>133.30000000000001</v>
      </c>
      <c r="AH97" s="9">
        <v>1.2999999999999999E-2</v>
      </c>
      <c r="AI97" s="13">
        <v>10</v>
      </c>
      <c r="AJ97" s="9">
        <f t="shared" si="4"/>
        <v>0.1</v>
      </c>
      <c r="AK97" s="9">
        <v>20</v>
      </c>
      <c r="AL97" s="9">
        <v>52</v>
      </c>
      <c r="AM97" s="9">
        <v>9.06</v>
      </c>
      <c r="AN97" s="15">
        <v>0.6</v>
      </c>
      <c r="AO97" s="9">
        <f t="shared" si="41"/>
        <v>1</v>
      </c>
      <c r="AP97" s="9">
        <v>9</v>
      </c>
      <c r="AQ97" s="9">
        <f t="shared" si="35"/>
        <v>0.7</v>
      </c>
      <c r="AR97" s="9">
        <v>6</v>
      </c>
      <c r="AS97" s="9">
        <v>0.5</v>
      </c>
      <c r="AT97" s="9">
        <v>0.33</v>
      </c>
      <c r="AU97" s="9">
        <v>38</v>
      </c>
      <c r="AV97" s="15">
        <v>0.6</v>
      </c>
      <c r="AW97" s="12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52</v>
      </c>
      <c r="BD97" s="9">
        <v>23.55</v>
      </c>
      <c r="BE97" s="9">
        <v>7</v>
      </c>
      <c r="BF97" s="9">
        <f t="shared" si="8"/>
        <v>0.3</v>
      </c>
      <c r="BG97" s="9">
        <f t="shared" si="32"/>
        <v>2</v>
      </c>
      <c r="BH97" s="9">
        <v>6</v>
      </c>
      <c r="BI97" s="9">
        <f t="shared" si="10"/>
        <v>0</v>
      </c>
      <c r="BJ97" s="9">
        <v>2</v>
      </c>
      <c r="BK97" s="9">
        <v>0</v>
      </c>
      <c r="BL97" s="15">
        <v>7</v>
      </c>
      <c r="BM97" s="14">
        <v>0.33</v>
      </c>
      <c r="BN97" s="8">
        <v>0</v>
      </c>
      <c r="BO97" s="14">
        <v>0</v>
      </c>
      <c r="BP97" s="14">
        <v>0</v>
      </c>
      <c r="BQ97" s="14">
        <f t="shared" si="42"/>
        <v>0.4</v>
      </c>
      <c r="BR97" s="15">
        <v>0</v>
      </c>
      <c r="BS97" s="15">
        <f t="shared" si="29"/>
        <v>7.1000000000000008E-2</v>
      </c>
      <c r="BT97" s="14">
        <v>0</v>
      </c>
      <c r="BU97" s="14">
        <v>0</v>
      </c>
      <c r="BV97" s="15">
        <v>386.5</v>
      </c>
      <c r="BW97" s="15">
        <v>0.42399999999999999</v>
      </c>
      <c r="BX97" s="15">
        <f t="shared" si="13"/>
        <v>0</v>
      </c>
      <c r="BY97" s="14">
        <f t="shared" si="14"/>
        <v>48.9</v>
      </c>
      <c r="BZ97" s="14">
        <f t="shared" si="15"/>
        <v>0</v>
      </c>
      <c r="CA97" s="14">
        <f t="shared" si="16"/>
        <v>0</v>
      </c>
      <c r="CB97" s="14">
        <f t="shared" si="17"/>
        <v>48.9</v>
      </c>
      <c r="CC97" s="15">
        <f t="shared" si="18"/>
        <v>0.70699999999999996</v>
      </c>
      <c r="CD97" s="14">
        <f t="shared" si="19"/>
        <v>34.57</v>
      </c>
      <c r="CE97" s="14">
        <f t="shared" si="20"/>
        <v>0.86</v>
      </c>
      <c r="CF97" s="14">
        <f t="shared" si="21"/>
        <v>29.73</v>
      </c>
      <c r="CG97" s="14">
        <f t="shared" si="22"/>
        <v>102</v>
      </c>
    </row>
    <row r="98" spans="1:85" ht="13.2" x14ac:dyDescent="0.25">
      <c r="A98" s="8" t="s">
        <v>197</v>
      </c>
      <c r="B98" s="9" t="s">
        <v>198</v>
      </c>
      <c r="C98" s="9" t="s">
        <v>179</v>
      </c>
      <c r="D98" s="9">
        <v>0</v>
      </c>
      <c r="E98" s="9">
        <v>1</v>
      </c>
      <c r="F98" s="9">
        <v>1</v>
      </c>
      <c r="G98" s="9">
        <v>0</v>
      </c>
      <c r="H98" s="9">
        <v>27</v>
      </c>
      <c r="I98" s="9">
        <v>20</v>
      </c>
      <c r="J98" s="11">
        <f t="shared" si="0"/>
        <v>0</v>
      </c>
      <c r="K98" s="10">
        <v>40</v>
      </c>
      <c r="L98" s="11">
        <v>0</v>
      </c>
      <c r="M98" s="11">
        <v>0.4</v>
      </c>
      <c r="N98" s="11" t="s">
        <v>180</v>
      </c>
      <c r="O98" s="11">
        <v>6</v>
      </c>
      <c r="P98" s="9" t="s">
        <v>88</v>
      </c>
      <c r="Q98" s="9">
        <v>0</v>
      </c>
      <c r="R98" s="9">
        <v>37</v>
      </c>
      <c r="S98" s="10">
        <v>0</v>
      </c>
      <c r="T98" s="10">
        <v>23.06</v>
      </c>
      <c r="U98" s="10">
        <f t="shared" si="1"/>
        <v>0.4</v>
      </c>
      <c r="V98" s="9">
        <v>16.46</v>
      </c>
      <c r="W98" s="10">
        <v>0.4</v>
      </c>
      <c r="X98" s="10">
        <v>20</v>
      </c>
      <c r="Y98" s="10">
        <v>20</v>
      </c>
      <c r="Z98" s="10">
        <v>0</v>
      </c>
      <c r="AA98" s="10">
        <v>0</v>
      </c>
      <c r="AB98" s="9">
        <v>3.2</v>
      </c>
      <c r="AC98" s="9">
        <f t="shared" si="3"/>
        <v>3</v>
      </c>
      <c r="AD98" s="9">
        <v>0.5</v>
      </c>
      <c r="AE98" s="9">
        <v>0.1</v>
      </c>
      <c r="AF98" s="9">
        <v>2.5000000000000001E-3</v>
      </c>
      <c r="AG98" s="9">
        <v>27.8</v>
      </c>
      <c r="AH98" s="9">
        <v>0.13900000000000001</v>
      </c>
      <c r="AI98" s="13">
        <v>9</v>
      </c>
      <c r="AJ98" s="9">
        <f t="shared" si="4"/>
        <v>0.1</v>
      </c>
      <c r="AK98" s="9">
        <v>35</v>
      </c>
      <c r="AL98" s="9">
        <v>96</v>
      </c>
      <c r="AM98" s="9">
        <v>8.41</v>
      </c>
      <c r="AN98" s="15">
        <v>0.7</v>
      </c>
      <c r="AO98" s="9">
        <f t="shared" si="41"/>
        <v>0.9</v>
      </c>
      <c r="AP98" s="9">
        <v>8.5</v>
      </c>
      <c r="AQ98" s="9">
        <f t="shared" si="35"/>
        <v>0.4</v>
      </c>
      <c r="AR98" s="9">
        <v>4.5</v>
      </c>
      <c r="AS98" s="9">
        <v>0.7</v>
      </c>
      <c r="AT98" s="9">
        <v>0.47</v>
      </c>
      <c r="AU98" s="9">
        <v>42</v>
      </c>
      <c r="AV98" s="15">
        <v>0.8</v>
      </c>
      <c r="AW98" s="12">
        <v>15</v>
      </c>
      <c r="AX98" s="9">
        <v>0.2</v>
      </c>
      <c r="AY98" s="9">
        <v>0</v>
      </c>
      <c r="AZ98" s="9">
        <v>0</v>
      </c>
      <c r="BA98" s="9">
        <v>0</v>
      </c>
      <c r="BB98" s="9">
        <v>0</v>
      </c>
      <c r="BC98" s="9">
        <v>96</v>
      </c>
      <c r="BD98" s="9">
        <v>23.06</v>
      </c>
      <c r="BE98" s="9">
        <v>7.5</v>
      </c>
      <c r="BF98" s="9">
        <f t="shared" si="8"/>
        <v>0.4</v>
      </c>
      <c r="BG98" s="9">
        <f t="shared" si="32"/>
        <v>2</v>
      </c>
      <c r="BH98" s="9">
        <v>6</v>
      </c>
      <c r="BI98" s="9">
        <f t="shared" si="10"/>
        <v>0</v>
      </c>
      <c r="BJ98" s="9">
        <v>3</v>
      </c>
      <c r="BK98" s="9">
        <v>0.14000000000000001</v>
      </c>
      <c r="BL98" s="15">
        <v>6</v>
      </c>
      <c r="BM98" s="14">
        <v>0</v>
      </c>
      <c r="BN98" s="8">
        <v>1.4</v>
      </c>
      <c r="BO98" s="14">
        <v>0</v>
      </c>
      <c r="BP98" s="14">
        <v>0</v>
      </c>
      <c r="BQ98" s="14">
        <f t="shared" si="42"/>
        <v>0.5</v>
      </c>
      <c r="BR98" s="15">
        <v>0</v>
      </c>
      <c r="BS98" s="15">
        <f t="shared" si="29"/>
        <v>0.184</v>
      </c>
      <c r="BT98" s="14">
        <v>0</v>
      </c>
      <c r="BU98" s="14">
        <v>0</v>
      </c>
      <c r="BV98" s="15">
        <v>745</v>
      </c>
      <c r="BW98" s="15">
        <v>0.81100000000000005</v>
      </c>
      <c r="BX98" s="15">
        <f t="shared" si="13"/>
        <v>0</v>
      </c>
      <c r="BY98" s="14">
        <f t="shared" si="14"/>
        <v>59.599999999999987</v>
      </c>
      <c r="BZ98" s="14">
        <f t="shared" si="15"/>
        <v>8.6669999999999998</v>
      </c>
      <c r="CA98" s="14">
        <f t="shared" si="16"/>
        <v>0</v>
      </c>
      <c r="CB98" s="14">
        <f t="shared" si="17"/>
        <v>68.266999999999982</v>
      </c>
      <c r="CC98" s="15">
        <f t="shared" si="18"/>
        <v>0.71799999999999997</v>
      </c>
      <c r="CD98" s="14">
        <f t="shared" si="19"/>
        <v>49.02</v>
      </c>
      <c r="CE98" s="14">
        <f t="shared" si="20"/>
        <v>0.86</v>
      </c>
      <c r="CF98" s="14">
        <f t="shared" si="21"/>
        <v>42.16</v>
      </c>
      <c r="CG98" s="14">
        <f t="shared" si="22"/>
        <v>45</v>
      </c>
    </row>
    <row r="99" spans="1:85" ht="13.2" x14ac:dyDescent="0.25">
      <c r="A99" s="8">
        <v>1159721</v>
      </c>
      <c r="B99" s="9" t="s">
        <v>199</v>
      </c>
      <c r="C99" s="9" t="s">
        <v>179</v>
      </c>
      <c r="D99" s="9">
        <v>0</v>
      </c>
      <c r="E99" s="9">
        <v>1</v>
      </c>
      <c r="F99" s="9">
        <v>0</v>
      </c>
      <c r="G99" s="9">
        <v>0</v>
      </c>
      <c r="H99" s="9">
        <v>13</v>
      </c>
      <c r="I99" s="9">
        <v>12</v>
      </c>
      <c r="J99" s="11">
        <f t="shared" si="0"/>
        <v>0</v>
      </c>
      <c r="K99" s="10">
        <v>0</v>
      </c>
      <c r="L99" s="11">
        <v>0</v>
      </c>
      <c r="M99" s="11">
        <v>0.1</v>
      </c>
      <c r="N99" s="11" t="s">
        <v>180</v>
      </c>
      <c r="O99" s="11">
        <v>6</v>
      </c>
      <c r="P99" s="9" t="s">
        <v>88</v>
      </c>
      <c r="Q99" s="9">
        <v>0</v>
      </c>
      <c r="R99" s="9">
        <v>21</v>
      </c>
      <c r="S99" s="10">
        <v>0</v>
      </c>
      <c r="T99" s="10">
        <v>0</v>
      </c>
      <c r="U99" s="10">
        <f t="shared" si="1"/>
        <v>0</v>
      </c>
      <c r="V99" s="9">
        <v>13.79</v>
      </c>
      <c r="W99" s="10">
        <f t="shared" ref="W99:W179" si="43">ROUND((V99 - MIN(V$2:V$98)) / (MAX(V$2:V$98) - MIN(V$2:V$98)), 1)</f>
        <v>0</v>
      </c>
      <c r="X99" s="10">
        <v>0</v>
      </c>
      <c r="Y99" s="10">
        <v>0</v>
      </c>
      <c r="Z99" s="10">
        <v>0</v>
      </c>
      <c r="AA99" s="10">
        <v>0</v>
      </c>
      <c r="AB99" s="9">
        <v>0.2</v>
      </c>
      <c r="AC99" s="9">
        <f t="shared" si="3"/>
        <v>1</v>
      </c>
      <c r="AD99" s="9">
        <v>0.5</v>
      </c>
      <c r="AE99" s="9">
        <v>0.05</v>
      </c>
      <c r="AF99" s="9">
        <v>1.25E-3</v>
      </c>
      <c r="AG99" s="9">
        <v>1.7</v>
      </c>
      <c r="AH99" s="9">
        <v>8.9999999999999993E-3</v>
      </c>
      <c r="AI99" s="13">
        <v>5</v>
      </c>
      <c r="AJ99" s="9">
        <f t="shared" si="4"/>
        <v>0</v>
      </c>
      <c r="AK99" s="9">
        <v>19</v>
      </c>
      <c r="AL99" s="9">
        <v>43.4</v>
      </c>
      <c r="AM99" s="9">
        <v>9.7100000000000009</v>
      </c>
      <c r="AN99" s="15">
        <v>0.5</v>
      </c>
      <c r="AO99" s="9">
        <f t="shared" si="41"/>
        <v>1</v>
      </c>
      <c r="AP99" s="9">
        <v>9</v>
      </c>
      <c r="AQ99" s="9">
        <f t="shared" si="35"/>
        <v>0.1</v>
      </c>
      <c r="AR99" s="9">
        <v>2.5</v>
      </c>
      <c r="AS99" s="9">
        <v>0.5</v>
      </c>
      <c r="AT99" s="9">
        <v>0.33</v>
      </c>
      <c r="AU99" s="9">
        <v>44</v>
      </c>
      <c r="AV99" s="15">
        <v>0.8</v>
      </c>
      <c r="AW99" s="12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43.4</v>
      </c>
      <c r="BD99" s="9">
        <v>22.32</v>
      </c>
      <c r="BE99" s="9">
        <v>7</v>
      </c>
      <c r="BF99" s="9">
        <f t="shared" si="8"/>
        <v>0.3</v>
      </c>
      <c r="BG99" s="9">
        <f t="shared" si="32"/>
        <v>2</v>
      </c>
      <c r="BH99" s="9">
        <v>7</v>
      </c>
      <c r="BI99" s="9">
        <f t="shared" si="10"/>
        <v>0.3</v>
      </c>
      <c r="BJ99" s="9">
        <v>3</v>
      </c>
      <c r="BK99" s="9">
        <v>0.14000000000000001</v>
      </c>
      <c r="BL99" s="15">
        <v>7</v>
      </c>
      <c r="BM99" s="14">
        <v>0.33</v>
      </c>
      <c r="BN99" s="8">
        <v>0</v>
      </c>
      <c r="BO99" s="14">
        <v>0</v>
      </c>
      <c r="BP99" s="14">
        <v>0</v>
      </c>
      <c r="BQ99" s="14">
        <f t="shared" si="42"/>
        <v>0.3</v>
      </c>
      <c r="BR99" s="15">
        <v>0</v>
      </c>
      <c r="BS99" s="15">
        <f t="shared" si="29"/>
        <v>5.8999999999999997E-2</v>
      </c>
      <c r="BT99" s="14">
        <v>0</v>
      </c>
      <c r="BU99" s="14">
        <v>0</v>
      </c>
      <c r="BV99" s="15">
        <v>317.7</v>
      </c>
      <c r="BW99" s="15">
        <v>0.34899999999999998</v>
      </c>
      <c r="BX99" s="15">
        <f t="shared" si="13"/>
        <v>0</v>
      </c>
      <c r="BY99" s="14">
        <f t="shared" si="14"/>
        <v>47.4</v>
      </c>
      <c r="BZ99" s="14">
        <f t="shared" si="15"/>
        <v>0</v>
      </c>
      <c r="CA99" s="14">
        <f t="shared" si="16"/>
        <v>0</v>
      </c>
      <c r="CB99" s="14">
        <f t="shared" si="17"/>
        <v>47.4</v>
      </c>
      <c r="CC99" s="15">
        <f t="shared" si="18"/>
        <v>0.70599999999999996</v>
      </c>
      <c r="CD99" s="14">
        <f t="shared" si="19"/>
        <v>33.46</v>
      </c>
      <c r="CE99" s="14">
        <f t="shared" si="20"/>
        <v>0.98</v>
      </c>
      <c r="CF99" s="14">
        <f t="shared" si="21"/>
        <v>32.79</v>
      </c>
      <c r="CG99" s="14">
        <f t="shared" si="22"/>
        <v>74</v>
      </c>
    </row>
    <row r="100" spans="1:85" ht="13.2" x14ac:dyDescent="0.25">
      <c r="A100" s="8">
        <v>793447</v>
      </c>
      <c r="B100" s="9" t="s">
        <v>200</v>
      </c>
      <c r="C100" s="9" t="s">
        <v>179</v>
      </c>
      <c r="D100" s="9">
        <v>0</v>
      </c>
      <c r="E100" s="9">
        <v>1</v>
      </c>
      <c r="F100" s="9">
        <v>0</v>
      </c>
      <c r="G100" s="9">
        <v>0</v>
      </c>
      <c r="H100" s="9">
        <v>11</v>
      </c>
      <c r="I100" s="9">
        <v>26</v>
      </c>
      <c r="J100" s="11">
        <f t="shared" si="0"/>
        <v>0</v>
      </c>
      <c r="K100" s="10">
        <v>0</v>
      </c>
      <c r="L100" s="11">
        <v>0</v>
      </c>
      <c r="M100" s="11">
        <v>0.1</v>
      </c>
      <c r="N100" s="11" t="s">
        <v>180</v>
      </c>
      <c r="O100" s="11">
        <v>6</v>
      </c>
      <c r="P100" s="9" t="s">
        <v>137</v>
      </c>
      <c r="Q100" s="9">
        <v>1</v>
      </c>
      <c r="R100" s="9">
        <v>32</v>
      </c>
      <c r="S100" s="10">
        <v>0</v>
      </c>
      <c r="T100" s="10">
        <v>0</v>
      </c>
      <c r="U100" s="10">
        <f t="shared" si="1"/>
        <v>0</v>
      </c>
      <c r="V100" s="9">
        <v>20.8</v>
      </c>
      <c r="W100" s="10">
        <f t="shared" si="43"/>
        <v>0</v>
      </c>
      <c r="X100" s="10">
        <v>0</v>
      </c>
      <c r="Y100" s="10">
        <v>0</v>
      </c>
      <c r="Z100" s="10">
        <v>0</v>
      </c>
      <c r="AA100" s="10">
        <v>0</v>
      </c>
      <c r="AB100" s="9">
        <v>10</v>
      </c>
      <c r="AC100" s="9">
        <f t="shared" si="3"/>
        <v>3</v>
      </c>
      <c r="AD100" s="9">
        <v>2</v>
      </c>
      <c r="AE100" s="9">
        <v>0.1</v>
      </c>
      <c r="AF100" s="9">
        <v>2.5000000000000001E-3</v>
      </c>
      <c r="AG100" s="9">
        <v>56.8</v>
      </c>
      <c r="AH100" s="9">
        <v>0.28399999999999997</v>
      </c>
      <c r="AI100" s="13">
        <v>6</v>
      </c>
      <c r="AJ100" s="9">
        <f t="shared" si="4"/>
        <v>0</v>
      </c>
      <c r="AK100" s="9">
        <v>10</v>
      </c>
      <c r="AL100" s="9">
        <v>34.4</v>
      </c>
      <c r="AM100" s="9">
        <v>10.76</v>
      </c>
      <c r="AN100" s="15">
        <v>0.3</v>
      </c>
      <c r="AO100" s="9">
        <f t="shared" si="41"/>
        <v>0.9</v>
      </c>
      <c r="AP100" s="9">
        <v>8</v>
      </c>
      <c r="AQ100" s="9">
        <f t="shared" si="35"/>
        <v>0.3</v>
      </c>
      <c r="AR100" s="9">
        <v>4</v>
      </c>
      <c r="AS100" s="9">
        <v>1</v>
      </c>
      <c r="AT100" s="9">
        <v>0.67</v>
      </c>
      <c r="AU100" s="9">
        <v>32</v>
      </c>
      <c r="AV100" s="15">
        <v>0.5</v>
      </c>
      <c r="AW100" s="12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34.4</v>
      </c>
      <c r="BD100" s="9">
        <v>37.299999999999997</v>
      </c>
      <c r="BE100" s="9">
        <v>7.5</v>
      </c>
      <c r="BF100" s="9">
        <f t="shared" si="8"/>
        <v>0.4</v>
      </c>
      <c r="BG100" s="9">
        <f t="shared" si="32"/>
        <v>2</v>
      </c>
      <c r="BH100" s="9">
        <v>7</v>
      </c>
      <c r="BI100" s="9">
        <f t="shared" si="10"/>
        <v>0.3</v>
      </c>
      <c r="BJ100" s="9">
        <v>3</v>
      </c>
      <c r="BK100" s="9">
        <v>0.14000000000000001</v>
      </c>
      <c r="BL100" s="15">
        <v>6</v>
      </c>
      <c r="BM100" s="14">
        <v>0</v>
      </c>
      <c r="BN100" s="8">
        <v>0</v>
      </c>
      <c r="BO100" s="14">
        <v>0</v>
      </c>
      <c r="BP100" s="14">
        <v>0</v>
      </c>
      <c r="BQ100" s="14">
        <f t="shared" si="42"/>
        <v>0.3</v>
      </c>
      <c r="BR100" s="15">
        <v>0</v>
      </c>
      <c r="BS100" s="15">
        <f t="shared" si="29"/>
        <v>6.7000000000000004E-2</v>
      </c>
      <c r="BT100" s="14">
        <v>0</v>
      </c>
      <c r="BU100" s="14">
        <v>0</v>
      </c>
      <c r="BV100" s="15">
        <v>250.7</v>
      </c>
      <c r="BW100" s="15">
        <v>0.27700000000000002</v>
      </c>
      <c r="BX100" s="15">
        <f t="shared" si="13"/>
        <v>0</v>
      </c>
      <c r="BY100" s="14">
        <f t="shared" si="14"/>
        <v>50.1</v>
      </c>
      <c r="BZ100" s="14">
        <f t="shared" si="15"/>
        <v>0</v>
      </c>
      <c r="CA100" s="14">
        <f t="shared" si="16"/>
        <v>0</v>
      </c>
      <c r="CB100" s="14">
        <f t="shared" si="17"/>
        <v>50.1</v>
      </c>
      <c r="CC100" s="15">
        <f t="shared" si="18"/>
        <v>0.70699999999999996</v>
      </c>
      <c r="CD100" s="14">
        <f t="shared" si="19"/>
        <v>35.42</v>
      </c>
      <c r="CE100" s="14">
        <f t="shared" si="20"/>
        <v>0.94</v>
      </c>
      <c r="CF100" s="14">
        <f t="shared" si="21"/>
        <v>33.29</v>
      </c>
      <c r="CG100" s="14">
        <f t="shared" si="22"/>
        <v>72</v>
      </c>
    </row>
    <row r="101" spans="1:85" ht="13.2" x14ac:dyDescent="0.25">
      <c r="A101" s="8">
        <v>926851</v>
      </c>
      <c r="B101" s="9" t="s">
        <v>201</v>
      </c>
      <c r="C101" s="9" t="s">
        <v>179</v>
      </c>
      <c r="D101" s="9">
        <v>0</v>
      </c>
      <c r="E101" s="9">
        <v>1</v>
      </c>
      <c r="F101" s="9">
        <v>1</v>
      </c>
      <c r="G101" s="9">
        <v>0</v>
      </c>
      <c r="H101" s="9">
        <v>16</v>
      </c>
      <c r="I101" s="9">
        <v>22</v>
      </c>
      <c r="J101" s="11">
        <v>0</v>
      </c>
      <c r="K101" s="10">
        <v>34</v>
      </c>
      <c r="L101" s="11">
        <v>10</v>
      </c>
      <c r="M101" s="11">
        <v>0.3</v>
      </c>
      <c r="N101" s="11" t="s">
        <v>180</v>
      </c>
      <c r="O101" s="11">
        <v>6</v>
      </c>
      <c r="P101" s="9" t="s">
        <v>88</v>
      </c>
      <c r="Q101" s="9">
        <v>0</v>
      </c>
      <c r="R101" s="9">
        <v>36</v>
      </c>
      <c r="S101" s="10">
        <v>0</v>
      </c>
      <c r="T101" s="10">
        <v>28.06</v>
      </c>
      <c r="U101" s="10">
        <f t="shared" si="1"/>
        <v>0.5</v>
      </c>
      <c r="V101" s="9">
        <v>16.059999999999999</v>
      </c>
      <c r="W101" s="10">
        <f t="shared" si="43"/>
        <v>0</v>
      </c>
      <c r="X101" s="10">
        <v>15</v>
      </c>
      <c r="Y101" s="10">
        <v>10</v>
      </c>
      <c r="Z101" s="10">
        <v>0</v>
      </c>
      <c r="AA101" s="10">
        <v>0</v>
      </c>
      <c r="AB101" s="9">
        <v>1</v>
      </c>
      <c r="AC101" s="9">
        <f t="shared" si="3"/>
        <v>2</v>
      </c>
      <c r="AD101" s="9">
        <v>1</v>
      </c>
      <c r="AE101" s="9">
        <v>0.3</v>
      </c>
      <c r="AF101" s="9">
        <v>7.4999999999999997E-3</v>
      </c>
      <c r="AG101" s="9">
        <v>40</v>
      </c>
      <c r="AH101" s="9">
        <v>0.2</v>
      </c>
      <c r="AI101" s="13">
        <v>7</v>
      </c>
      <c r="AJ101" s="9">
        <f t="shared" si="4"/>
        <v>0</v>
      </c>
      <c r="AK101" s="9">
        <v>17</v>
      </c>
      <c r="AL101" s="9">
        <v>45.3</v>
      </c>
      <c r="AM101" s="9">
        <v>10.48</v>
      </c>
      <c r="AN101" s="15">
        <v>0.4</v>
      </c>
      <c r="AO101" s="9">
        <f t="shared" si="41"/>
        <v>0.9</v>
      </c>
      <c r="AP101" s="9">
        <v>8.5</v>
      </c>
      <c r="AQ101" s="9">
        <f t="shared" si="35"/>
        <v>0.3</v>
      </c>
      <c r="AR101" s="9">
        <v>3.5</v>
      </c>
      <c r="AS101" s="9">
        <v>0.6</v>
      </c>
      <c r="AT101" s="9">
        <v>0.4</v>
      </c>
      <c r="AU101" s="9">
        <v>35</v>
      </c>
      <c r="AV101" s="15">
        <v>0.6</v>
      </c>
      <c r="AW101" s="12">
        <v>10</v>
      </c>
      <c r="AX101" s="9">
        <v>0.1</v>
      </c>
      <c r="AY101" s="9">
        <v>0</v>
      </c>
      <c r="AZ101" s="9">
        <v>0</v>
      </c>
      <c r="BA101" s="9">
        <v>0</v>
      </c>
      <c r="BB101" s="9">
        <v>0</v>
      </c>
      <c r="BC101" s="9">
        <v>45.3</v>
      </c>
      <c r="BD101" s="9">
        <v>28.06</v>
      </c>
      <c r="BE101" s="9">
        <v>7</v>
      </c>
      <c r="BF101" s="9">
        <f t="shared" si="8"/>
        <v>0.3</v>
      </c>
      <c r="BG101" s="9">
        <f t="shared" si="32"/>
        <v>2</v>
      </c>
      <c r="BH101" s="9">
        <v>6</v>
      </c>
      <c r="BI101" s="9">
        <f t="shared" si="10"/>
        <v>0</v>
      </c>
      <c r="BJ101" s="9">
        <v>2</v>
      </c>
      <c r="BK101" s="9">
        <v>0</v>
      </c>
      <c r="BL101" s="15">
        <v>7</v>
      </c>
      <c r="BM101" s="14">
        <v>0.33</v>
      </c>
      <c r="BN101" s="8">
        <v>2.1</v>
      </c>
      <c r="BO101" s="14">
        <v>0</v>
      </c>
      <c r="BP101" s="14">
        <v>0</v>
      </c>
      <c r="BQ101" s="14">
        <f t="shared" si="42"/>
        <v>0.3</v>
      </c>
      <c r="BR101" s="15">
        <v>0</v>
      </c>
      <c r="BS101" s="15">
        <f t="shared" si="29"/>
        <v>4.6290000000000004</v>
      </c>
      <c r="BT101" s="14">
        <v>0</v>
      </c>
      <c r="BU101" s="14">
        <v>0</v>
      </c>
      <c r="BV101" s="15">
        <v>333.9</v>
      </c>
      <c r="BW101" s="15">
        <v>0.36699999999999999</v>
      </c>
      <c r="BX101" s="15">
        <f t="shared" si="13"/>
        <v>0</v>
      </c>
      <c r="BY101" s="14">
        <f t="shared" si="14"/>
        <v>44.5</v>
      </c>
      <c r="BZ101" s="14">
        <f t="shared" si="15"/>
        <v>9.25</v>
      </c>
      <c r="CA101" s="14">
        <f t="shared" si="16"/>
        <v>0</v>
      </c>
      <c r="CB101" s="14">
        <f t="shared" si="17"/>
        <v>53.75</v>
      </c>
      <c r="CC101" s="15">
        <f t="shared" si="18"/>
        <v>1.163</v>
      </c>
      <c r="CD101" s="14">
        <f t="shared" si="19"/>
        <v>62.51</v>
      </c>
      <c r="CE101" s="14">
        <f t="shared" si="20"/>
        <v>0.89500000000000002</v>
      </c>
      <c r="CF101" s="14">
        <f t="shared" si="21"/>
        <v>55.95</v>
      </c>
      <c r="CG101" s="14">
        <f t="shared" si="22"/>
        <v>21</v>
      </c>
    </row>
    <row r="102" spans="1:85" ht="13.2" x14ac:dyDescent="0.25">
      <c r="A102" s="8">
        <v>537119</v>
      </c>
      <c r="B102" s="9" t="s">
        <v>202</v>
      </c>
      <c r="C102" s="9" t="s">
        <v>179</v>
      </c>
      <c r="D102" s="9">
        <v>0</v>
      </c>
      <c r="E102" s="9">
        <v>1</v>
      </c>
      <c r="F102" s="9">
        <v>0</v>
      </c>
      <c r="G102" s="9">
        <v>0</v>
      </c>
      <c r="H102" s="9">
        <v>17</v>
      </c>
      <c r="I102" s="9">
        <v>18</v>
      </c>
      <c r="J102" s="11">
        <f t="shared" ref="J102:J185" si="44">ROUND((K102 - MIN($K$2:$K$98)) / (MAX($K$2:$K$98) - MIN($K$2:$K$98)), 1)</f>
        <v>0</v>
      </c>
      <c r="K102" s="10">
        <v>0</v>
      </c>
      <c r="L102" s="11">
        <v>0</v>
      </c>
      <c r="M102" s="11">
        <v>0.1</v>
      </c>
      <c r="N102" s="11" t="s">
        <v>180</v>
      </c>
      <c r="O102" s="11">
        <v>6</v>
      </c>
      <c r="P102" s="9" t="s">
        <v>88</v>
      </c>
      <c r="Q102" s="9">
        <v>0</v>
      </c>
      <c r="R102" s="9">
        <v>26</v>
      </c>
      <c r="S102" s="10">
        <v>0</v>
      </c>
      <c r="T102" s="10">
        <v>0</v>
      </c>
      <c r="U102" s="10">
        <f t="shared" si="1"/>
        <v>0</v>
      </c>
      <c r="V102" s="9">
        <v>18</v>
      </c>
      <c r="W102" s="10">
        <f t="shared" si="43"/>
        <v>0</v>
      </c>
      <c r="X102" s="10">
        <v>0</v>
      </c>
      <c r="Y102" s="10">
        <v>0</v>
      </c>
      <c r="Z102" s="10">
        <v>0</v>
      </c>
      <c r="AA102" s="10">
        <v>0</v>
      </c>
      <c r="AB102" s="9">
        <v>2</v>
      </c>
      <c r="AC102" s="9">
        <f t="shared" si="3"/>
        <v>3</v>
      </c>
      <c r="AD102" s="9">
        <v>0.5</v>
      </c>
      <c r="AE102" s="9">
        <v>0.1</v>
      </c>
      <c r="AF102" s="9">
        <v>2.5000000000000001E-3</v>
      </c>
      <c r="AG102" s="9">
        <v>76.900000000000006</v>
      </c>
      <c r="AH102" s="9">
        <v>0.38500000000000001</v>
      </c>
      <c r="AI102" s="13">
        <v>5</v>
      </c>
      <c r="AJ102" s="9">
        <f t="shared" si="4"/>
        <v>0</v>
      </c>
      <c r="AK102" s="9">
        <v>20</v>
      </c>
      <c r="AL102" s="9">
        <v>60</v>
      </c>
      <c r="AM102" s="9">
        <v>9.32</v>
      </c>
      <c r="AN102" s="15">
        <v>0.6</v>
      </c>
      <c r="AO102" s="9">
        <f t="shared" si="41"/>
        <v>1</v>
      </c>
      <c r="AP102" s="9">
        <v>9</v>
      </c>
      <c r="AQ102" s="9">
        <f t="shared" si="35"/>
        <v>0.3</v>
      </c>
      <c r="AR102" s="9">
        <v>3.5</v>
      </c>
      <c r="AS102" s="9">
        <v>0.6</v>
      </c>
      <c r="AT102" s="9">
        <v>0.4</v>
      </c>
      <c r="AU102" s="9">
        <v>36</v>
      </c>
      <c r="AV102" s="15">
        <v>0.6</v>
      </c>
      <c r="AW102" s="12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60</v>
      </c>
      <c r="BD102" s="9">
        <v>27.95</v>
      </c>
      <c r="BE102" s="9">
        <v>7.5</v>
      </c>
      <c r="BF102" s="9">
        <f t="shared" si="8"/>
        <v>0.4</v>
      </c>
      <c r="BG102" s="9">
        <f t="shared" si="32"/>
        <v>2</v>
      </c>
      <c r="BH102" s="9">
        <v>6</v>
      </c>
      <c r="BI102" s="9">
        <f t="shared" si="10"/>
        <v>0</v>
      </c>
      <c r="BJ102" s="9">
        <v>2</v>
      </c>
      <c r="BK102" s="9">
        <v>0</v>
      </c>
      <c r="BL102" s="15">
        <v>6</v>
      </c>
      <c r="BM102" s="14">
        <v>0</v>
      </c>
      <c r="BN102" s="8">
        <v>0</v>
      </c>
      <c r="BO102" s="14">
        <v>0</v>
      </c>
      <c r="BP102" s="14">
        <v>0</v>
      </c>
      <c r="BQ102" s="14">
        <f t="shared" si="42"/>
        <v>0.3</v>
      </c>
      <c r="BR102" s="15">
        <v>0</v>
      </c>
      <c r="BS102" s="15">
        <f t="shared" si="29"/>
        <v>6.7000000000000004E-2</v>
      </c>
      <c r="BT102" s="14">
        <v>0</v>
      </c>
      <c r="BU102" s="14">
        <v>0</v>
      </c>
      <c r="BV102" s="15">
        <v>455.5</v>
      </c>
      <c r="BW102" s="15">
        <v>0.498</v>
      </c>
      <c r="BX102" s="15">
        <f t="shared" si="13"/>
        <v>0</v>
      </c>
      <c r="BY102" s="14">
        <f t="shared" si="14"/>
        <v>47.5</v>
      </c>
      <c r="BZ102" s="14">
        <f t="shared" si="15"/>
        <v>0</v>
      </c>
      <c r="CA102" s="14">
        <f t="shared" si="16"/>
        <v>0</v>
      </c>
      <c r="CB102" s="14">
        <f t="shared" si="17"/>
        <v>47.5</v>
      </c>
      <c r="CC102" s="15">
        <f t="shared" si="18"/>
        <v>0.70699999999999996</v>
      </c>
      <c r="CD102" s="14">
        <f t="shared" si="19"/>
        <v>33.58</v>
      </c>
      <c r="CE102" s="14">
        <f t="shared" si="20"/>
        <v>0.94</v>
      </c>
      <c r="CF102" s="14">
        <f t="shared" si="21"/>
        <v>31.57</v>
      </c>
      <c r="CG102" s="14">
        <f t="shared" si="22"/>
        <v>82</v>
      </c>
    </row>
    <row r="103" spans="1:85" ht="13.2" x14ac:dyDescent="0.25">
      <c r="A103" s="8">
        <v>1317946</v>
      </c>
      <c r="B103" s="9" t="s">
        <v>203</v>
      </c>
      <c r="C103" s="9" t="s">
        <v>179</v>
      </c>
      <c r="D103" s="9">
        <v>0</v>
      </c>
      <c r="E103" s="9">
        <v>1</v>
      </c>
      <c r="F103" s="9">
        <v>0</v>
      </c>
      <c r="G103" s="9">
        <v>0</v>
      </c>
      <c r="H103" s="9">
        <v>8</v>
      </c>
      <c r="I103" s="9">
        <v>6</v>
      </c>
      <c r="J103" s="11">
        <f t="shared" si="44"/>
        <v>0</v>
      </c>
      <c r="K103" s="10">
        <v>0</v>
      </c>
      <c r="L103" s="11">
        <v>0</v>
      </c>
      <c r="M103" s="11">
        <v>0.1</v>
      </c>
      <c r="N103" s="11" t="s">
        <v>180</v>
      </c>
      <c r="O103" s="11">
        <v>6</v>
      </c>
      <c r="P103" s="9" t="s">
        <v>88</v>
      </c>
      <c r="Q103" s="9">
        <v>0</v>
      </c>
      <c r="R103" s="9">
        <v>43</v>
      </c>
      <c r="S103" s="10">
        <v>0</v>
      </c>
      <c r="T103" s="10">
        <v>0</v>
      </c>
      <c r="U103" s="10">
        <f t="shared" si="1"/>
        <v>0</v>
      </c>
      <c r="V103" s="9">
        <v>15.75</v>
      </c>
      <c r="W103" s="10">
        <f t="shared" si="43"/>
        <v>0</v>
      </c>
      <c r="X103" s="10">
        <v>0</v>
      </c>
      <c r="Y103" s="10">
        <v>0</v>
      </c>
      <c r="Z103" s="10">
        <v>0</v>
      </c>
      <c r="AA103" s="10">
        <v>0</v>
      </c>
      <c r="AB103" s="9">
        <v>6.5</v>
      </c>
      <c r="AC103" s="9">
        <f t="shared" si="3"/>
        <v>3</v>
      </c>
      <c r="AD103" s="9">
        <v>0.5</v>
      </c>
      <c r="AE103" s="9">
        <v>0.05</v>
      </c>
      <c r="AF103" s="9">
        <v>1.25E-3</v>
      </c>
      <c r="AG103" s="9">
        <v>2.5</v>
      </c>
      <c r="AH103" s="9">
        <v>1.2999999999999999E-2</v>
      </c>
      <c r="AI103" s="13">
        <v>8</v>
      </c>
      <c r="AJ103" s="9">
        <f t="shared" si="4"/>
        <v>0</v>
      </c>
      <c r="AK103" s="9">
        <v>8</v>
      </c>
      <c r="AL103" s="9">
        <v>21</v>
      </c>
      <c r="AM103" s="9">
        <v>8.0500000000000007</v>
      </c>
      <c r="AN103" s="15">
        <v>0.9</v>
      </c>
      <c r="AO103" s="9">
        <f t="shared" si="41"/>
        <v>1</v>
      </c>
      <c r="AP103" s="9">
        <v>9</v>
      </c>
      <c r="AQ103" s="9">
        <f t="shared" si="35"/>
        <v>0.3</v>
      </c>
      <c r="AR103" s="9">
        <v>4</v>
      </c>
      <c r="AS103" s="9">
        <v>0.7</v>
      </c>
      <c r="AT103" s="9">
        <v>0.47</v>
      </c>
      <c r="AU103" s="9">
        <v>41</v>
      </c>
      <c r="AV103" s="15">
        <v>0.7</v>
      </c>
      <c r="AW103" s="12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21</v>
      </c>
      <c r="BD103" s="9">
        <v>21.13</v>
      </c>
      <c r="BE103" s="9">
        <v>7</v>
      </c>
      <c r="BF103" s="9">
        <f t="shared" si="8"/>
        <v>0.3</v>
      </c>
      <c r="BG103" s="9">
        <f t="shared" si="32"/>
        <v>2</v>
      </c>
      <c r="BH103" s="9">
        <v>7</v>
      </c>
      <c r="BI103" s="9">
        <f t="shared" si="10"/>
        <v>0.3</v>
      </c>
      <c r="BJ103" s="9">
        <v>2</v>
      </c>
      <c r="BK103" s="9">
        <v>0</v>
      </c>
      <c r="BL103" s="15">
        <v>6</v>
      </c>
      <c r="BM103" s="14">
        <v>0</v>
      </c>
      <c r="BN103" s="8">
        <v>0</v>
      </c>
      <c r="BO103" s="14">
        <v>0</v>
      </c>
      <c r="BP103" s="14">
        <v>0</v>
      </c>
      <c r="BQ103" s="14">
        <f t="shared" si="42"/>
        <v>0.4</v>
      </c>
      <c r="BR103" s="15">
        <v>0</v>
      </c>
      <c r="BS103" s="15">
        <f t="shared" si="29"/>
        <v>5.8999999999999997E-2</v>
      </c>
      <c r="BT103" s="14">
        <v>0</v>
      </c>
      <c r="BU103" s="14">
        <v>0</v>
      </c>
      <c r="BV103" s="15">
        <v>143.5</v>
      </c>
      <c r="BW103" s="15">
        <v>0.16</v>
      </c>
      <c r="BX103" s="15">
        <f t="shared" si="13"/>
        <v>0</v>
      </c>
      <c r="BY103" s="14">
        <f t="shared" si="14"/>
        <v>57.599999999999994</v>
      </c>
      <c r="BZ103" s="14">
        <f t="shared" si="15"/>
        <v>0</v>
      </c>
      <c r="CA103" s="14">
        <f t="shared" si="16"/>
        <v>0</v>
      </c>
      <c r="CB103" s="14">
        <f t="shared" si="17"/>
        <v>57.599999999999994</v>
      </c>
      <c r="CC103" s="15">
        <f t="shared" si="18"/>
        <v>0.70599999999999996</v>
      </c>
      <c r="CD103" s="14">
        <f t="shared" si="19"/>
        <v>40.67</v>
      </c>
      <c r="CE103" s="14">
        <f t="shared" si="20"/>
        <v>0.94</v>
      </c>
      <c r="CF103" s="14">
        <f t="shared" si="21"/>
        <v>38.229999999999997</v>
      </c>
      <c r="CG103" s="14">
        <f t="shared" si="22"/>
        <v>49</v>
      </c>
    </row>
    <row r="104" spans="1:85" ht="13.2" x14ac:dyDescent="0.25">
      <c r="A104" s="8">
        <v>390481</v>
      </c>
      <c r="B104" s="9" t="s">
        <v>204</v>
      </c>
      <c r="C104" s="9" t="s">
        <v>179</v>
      </c>
      <c r="D104" s="9">
        <v>0</v>
      </c>
      <c r="E104" s="9">
        <v>1</v>
      </c>
      <c r="F104" s="9">
        <v>0</v>
      </c>
      <c r="G104" s="9">
        <v>0</v>
      </c>
      <c r="H104" s="9">
        <v>23</v>
      </c>
      <c r="I104" s="9">
        <v>19</v>
      </c>
      <c r="J104" s="11">
        <f t="shared" si="44"/>
        <v>0</v>
      </c>
      <c r="K104" s="10">
        <v>0</v>
      </c>
      <c r="L104" s="11">
        <v>0</v>
      </c>
      <c r="M104" s="11">
        <v>0.1</v>
      </c>
      <c r="N104" s="11" t="s">
        <v>180</v>
      </c>
      <c r="O104" s="11">
        <v>6</v>
      </c>
      <c r="P104" s="9" t="s">
        <v>88</v>
      </c>
      <c r="Q104" s="9">
        <v>0</v>
      </c>
      <c r="R104" s="9">
        <v>28</v>
      </c>
      <c r="S104" s="10">
        <v>0</v>
      </c>
      <c r="T104" s="10">
        <v>0</v>
      </c>
      <c r="U104" s="10">
        <f t="shared" si="1"/>
        <v>0</v>
      </c>
      <c r="V104" s="9">
        <v>19.149999999999999</v>
      </c>
      <c r="W104" s="10">
        <f t="shared" si="43"/>
        <v>0</v>
      </c>
      <c r="X104" s="10">
        <v>0</v>
      </c>
      <c r="Y104" s="10">
        <v>0</v>
      </c>
      <c r="Z104" s="10">
        <v>0</v>
      </c>
      <c r="AA104" s="10">
        <v>0</v>
      </c>
      <c r="AB104" s="9">
        <v>3.2</v>
      </c>
      <c r="AC104" s="9">
        <f t="shared" si="3"/>
        <v>3</v>
      </c>
      <c r="AD104" s="9">
        <v>0.5</v>
      </c>
      <c r="AE104" s="9">
        <v>0.3</v>
      </c>
      <c r="AF104" s="9">
        <v>7.4999999999999997E-3</v>
      </c>
      <c r="AG104" s="9">
        <v>44.4</v>
      </c>
      <c r="AH104" s="9">
        <v>0.222</v>
      </c>
      <c r="AI104" s="13">
        <v>6</v>
      </c>
      <c r="AJ104" s="9">
        <f t="shared" si="4"/>
        <v>0</v>
      </c>
      <c r="AK104" s="9">
        <v>26</v>
      </c>
      <c r="AL104" s="9">
        <v>83</v>
      </c>
      <c r="AM104" s="9">
        <v>9.4</v>
      </c>
      <c r="AN104" s="15">
        <v>0.6</v>
      </c>
      <c r="AO104" s="9">
        <f t="shared" si="41"/>
        <v>1</v>
      </c>
      <c r="AP104" s="9">
        <v>9</v>
      </c>
      <c r="AQ104" s="9">
        <f t="shared" si="35"/>
        <v>0.5</v>
      </c>
      <c r="AR104" s="9">
        <v>5</v>
      </c>
      <c r="AS104" s="9">
        <v>0.75</v>
      </c>
      <c r="AT104" s="9">
        <v>0.5</v>
      </c>
      <c r="AU104" s="9">
        <v>39</v>
      </c>
      <c r="AV104" s="15">
        <v>0.7</v>
      </c>
      <c r="AW104" s="12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83</v>
      </c>
      <c r="BD104" s="9">
        <v>30</v>
      </c>
      <c r="BE104" s="9">
        <v>7.5</v>
      </c>
      <c r="BF104" s="9">
        <f t="shared" si="8"/>
        <v>0.4</v>
      </c>
      <c r="BG104" s="9">
        <f t="shared" si="32"/>
        <v>2</v>
      </c>
      <c r="BH104" s="9">
        <v>7</v>
      </c>
      <c r="BI104" s="9">
        <f t="shared" si="10"/>
        <v>0.3</v>
      </c>
      <c r="BJ104" s="9">
        <v>2</v>
      </c>
      <c r="BK104" s="9">
        <v>0</v>
      </c>
      <c r="BL104" s="15">
        <v>6</v>
      </c>
      <c r="BM104" s="14">
        <v>0</v>
      </c>
      <c r="BN104" s="8">
        <v>0</v>
      </c>
      <c r="BO104" s="14">
        <v>0</v>
      </c>
      <c r="BP104" s="14">
        <v>0</v>
      </c>
      <c r="BQ104" s="14">
        <f t="shared" si="42"/>
        <v>0.4</v>
      </c>
      <c r="BR104" s="15">
        <v>0</v>
      </c>
      <c r="BS104" s="15">
        <f t="shared" si="29"/>
        <v>6.7000000000000004E-2</v>
      </c>
      <c r="BT104" s="14">
        <v>0</v>
      </c>
      <c r="BU104" s="14">
        <v>0</v>
      </c>
      <c r="BV104" s="15">
        <v>639.5</v>
      </c>
      <c r="BW104" s="15">
        <v>0.69699999999999995</v>
      </c>
      <c r="BX104" s="15">
        <f t="shared" si="13"/>
        <v>0</v>
      </c>
      <c r="BY104" s="14">
        <f t="shared" si="14"/>
        <v>55.499999999999993</v>
      </c>
      <c r="BZ104" s="14">
        <f t="shared" si="15"/>
        <v>0</v>
      </c>
      <c r="CA104" s="14">
        <f t="shared" si="16"/>
        <v>0</v>
      </c>
      <c r="CB104" s="14">
        <f t="shared" si="17"/>
        <v>55.499999999999993</v>
      </c>
      <c r="CC104" s="15">
        <f t="shared" si="18"/>
        <v>0.70699999999999996</v>
      </c>
      <c r="CD104" s="14">
        <f t="shared" si="19"/>
        <v>39.24</v>
      </c>
      <c r="CE104" s="14">
        <f t="shared" si="20"/>
        <v>0.9</v>
      </c>
      <c r="CF104" s="14">
        <f t="shared" si="21"/>
        <v>35.32</v>
      </c>
      <c r="CG104" s="14">
        <f t="shared" si="22"/>
        <v>59</v>
      </c>
    </row>
    <row r="105" spans="1:85" ht="13.2" x14ac:dyDescent="0.25">
      <c r="A105" s="8">
        <v>1119181</v>
      </c>
      <c r="B105" s="9" t="s">
        <v>205</v>
      </c>
      <c r="C105" s="9" t="s">
        <v>179</v>
      </c>
      <c r="D105" s="9">
        <v>0</v>
      </c>
      <c r="E105" s="9">
        <v>1</v>
      </c>
      <c r="F105" s="9">
        <v>1</v>
      </c>
      <c r="G105" s="9">
        <v>0</v>
      </c>
      <c r="H105" s="9">
        <v>17</v>
      </c>
      <c r="I105" s="9">
        <v>24</v>
      </c>
      <c r="J105" s="11">
        <f t="shared" si="44"/>
        <v>0</v>
      </c>
      <c r="K105" s="10">
        <v>20</v>
      </c>
      <c r="L105" s="11">
        <v>4</v>
      </c>
      <c r="M105" s="11">
        <v>0.1</v>
      </c>
      <c r="N105" s="11" t="s">
        <v>180</v>
      </c>
      <c r="O105" s="11">
        <v>6</v>
      </c>
      <c r="P105" s="9" t="s">
        <v>101</v>
      </c>
      <c r="Q105" s="9">
        <v>1</v>
      </c>
      <c r="R105" s="9">
        <v>30</v>
      </c>
      <c r="S105" s="10">
        <v>0</v>
      </c>
      <c r="T105" s="10">
        <v>33.56</v>
      </c>
      <c r="U105" s="10">
        <f t="shared" si="1"/>
        <v>0.6</v>
      </c>
      <c r="V105" s="9">
        <v>21.67</v>
      </c>
      <c r="W105" s="10">
        <f t="shared" si="43"/>
        <v>0</v>
      </c>
      <c r="X105" s="10">
        <v>25</v>
      </c>
      <c r="Y105" s="10">
        <v>35</v>
      </c>
      <c r="Z105" s="10">
        <v>0</v>
      </c>
      <c r="AA105" s="10">
        <v>0</v>
      </c>
      <c r="AB105" s="9">
        <v>4</v>
      </c>
      <c r="AC105" s="9">
        <f t="shared" si="3"/>
        <v>3</v>
      </c>
      <c r="AD105" s="9">
        <v>0.5</v>
      </c>
      <c r="AE105" s="9">
        <v>0.05</v>
      </c>
      <c r="AF105" s="9">
        <v>1.25E-3</v>
      </c>
      <c r="AG105" s="9">
        <v>10</v>
      </c>
      <c r="AH105" s="9">
        <v>0.05</v>
      </c>
      <c r="AI105" s="13">
        <v>7</v>
      </c>
      <c r="AJ105" s="9">
        <f t="shared" si="4"/>
        <v>0</v>
      </c>
      <c r="AK105" s="9">
        <v>18</v>
      </c>
      <c r="AL105" s="9">
        <v>65</v>
      </c>
      <c r="AM105" s="9">
        <v>9.2899999999999991</v>
      </c>
      <c r="AN105" s="15">
        <v>0.6</v>
      </c>
      <c r="AO105" s="9">
        <f t="shared" si="41"/>
        <v>0.9</v>
      </c>
      <c r="AP105" s="9">
        <v>8.5</v>
      </c>
      <c r="AQ105" s="9">
        <f t="shared" si="35"/>
        <v>0.3</v>
      </c>
      <c r="AR105" s="9">
        <v>3.5</v>
      </c>
      <c r="AS105" s="9">
        <v>1</v>
      </c>
      <c r="AT105" s="9">
        <v>0.67</v>
      </c>
      <c r="AU105" s="9">
        <v>34</v>
      </c>
      <c r="AV105" s="15">
        <v>0.5</v>
      </c>
      <c r="AW105" s="12">
        <v>10</v>
      </c>
      <c r="AX105" s="9">
        <v>0.1</v>
      </c>
      <c r="AY105" s="9">
        <v>0</v>
      </c>
      <c r="AZ105" s="9">
        <v>0</v>
      </c>
      <c r="BA105" s="9">
        <v>0</v>
      </c>
      <c r="BB105" s="9">
        <v>0</v>
      </c>
      <c r="BC105" s="9">
        <v>65</v>
      </c>
      <c r="BD105" s="9">
        <v>33.56</v>
      </c>
      <c r="BE105" s="9">
        <v>7</v>
      </c>
      <c r="BF105" s="9">
        <f t="shared" si="8"/>
        <v>0.3</v>
      </c>
      <c r="BG105" s="9">
        <f t="shared" si="32"/>
        <v>2</v>
      </c>
      <c r="BH105" s="9">
        <v>7</v>
      </c>
      <c r="BI105" s="9">
        <f t="shared" si="10"/>
        <v>0.3</v>
      </c>
      <c r="BJ105" s="9">
        <v>2</v>
      </c>
      <c r="BK105" s="9">
        <v>0</v>
      </c>
      <c r="BL105" s="15">
        <v>7</v>
      </c>
      <c r="BM105" s="14">
        <v>0.33</v>
      </c>
      <c r="BN105" s="8">
        <v>1</v>
      </c>
      <c r="BO105" s="14">
        <v>0</v>
      </c>
      <c r="BP105" s="14">
        <v>0</v>
      </c>
      <c r="BQ105" s="14">
        <f t="shared" si="42"/>
        <v>0.4</v>
      </c>
      <c r="BR105" s="15">
        <v>0</v>
      </c>
      <c r="BS105" s="15">
        <f t="shared" si="29"/>
        <v>1.859</v>
      </c>
      <c r="BT105" s="14">
        <v>0</v>
      </c>
      <c r="BU105" s="14">
        <v>0</v>
      </c>
      <c r="BV105" s="15">
        <v>490.5</v>
      </c>
      <c r="BW105" s="15">
        <v>0.53600000000000003</v>
      </c>
      <c r="BX105" s="15">
        <f t="shared" si="13"/>
        <v>0</v>
      </c>
      <c r="BY105" s="14">
        <f t="shared" si="14"/>
        <v>56.599999999999994</v>
      </c>
      <c r="BZ105" s="14">
        <f t="shared" si="15"/>
        <v>5.5830000000000002</v>
      </c>
      <c r="CA105" s="14">
        <f t="shared" si="16"/>
        <v>0</v>
      </c>
      <c r="CB105" s="14">
        <f t="shared" si="17"/>
        <v>62.182999999999993</v>
      </c>
      <c r="CC105" s="15">
        <f t="shared" si="18"/>
        <v>0.88600000000000001</v>
      </c>
      <c r="CD105" s="14">
        <f t="shared" si="19"/>
        <v>55.09</v>
      </c>
      <c r="CE105" s="14">
        <f t="shared" si="20"/>
        <v>0.89500000000000002</v>
      </c>
      <c r="CF105" s="14">
        <f t="shared" si="21"/>
        <v>49.31</v>
      </c>
      <c r="CG105" s="14">
        <f t="shared" si="22"/>
        <v>27</v>
      </c>
    </row>
    <row r="106" spans="1:85" ht="13.2" x14ac:dyDescent="0.25">
      <c r="A106" s="8">
        <v>481979</v>
      </c>
      <c r="B106" s="9" t="s">
        <v>206</v>
      </c>
      <c r="C106" s="9" t="s">
        <v>179</v>
      </c>
      <c r="D106" s="9">
        <v>0</v>
      </c>
      <c r="E106" s="9">
        <v>1</v>
      </c>
      <c r="F106" s="9">
        <v>0</v>
      </c>
      <c r="G106" s="9">
        <v>0</v>
      </c>
      <c r="H106" s="9">
        <v>14</v>
      </c>
      <c r="I106" s="9">
        <v>22</v>
      </c>
      <c r="J106" s="11">
        <f t="shared" si="44"/>
        <v>0</v>
      </c>
      <c r="K106" s="10">
        <v>0</v>
      </c>
      <c r="L106" s="11">
        <v>0</v>
      </c>
      <c r="M106" s="11">
        <v>0.2</v>
      </c>
      <c r="N106" s="11" t="s">
        <v>180</v>
      </c>
      <c r="O106" s="11">
        <v>6</v>
      </c>
      <c r="P106" s="9" t="s">
        <v>88</v>
      </c>
      <c r="Q106" s="9">
        <v>0</v>
      </c>
      <c r="R106" s="9">
        <v>23</v>
      </c>
      <c r="S106" s="10">
        <v>0</v>
      </c>
      <c r="T106" s="10">
        <v>0</v>
      </c>
      <c r="U106" s="10">
        <f t="shared" si="1"/>
        <v>0</v>
      </c>
      <c r="V106" s="9">
        <v>22.15</v>
      </c>
      <c r="W106" s="10">
        <f t="shared" si="43"/>
        <v>0</v>
      </c>
      <c r="X106" s="10">
        <v>0</v>
      </c>
      <c r="Y106" s="10">
        <v>0</v>
      </c>
      <c r="Z106" s="10">
        <v>0</v>
      </c>
      <c r="AA106" s="10">
        <v>0</v>
      </c>
      <c r="AB106" s="9">
        <v>10.75</v>
      </c>
      <c r="AC106" s="9">
        <f t="shared" si="3"/>
        <v>3</v>
      </c>
      <c r="AD106" s="9">
        <v>0.5</v>
      </c>
      <c r="AE106" s="9">
        <v>0.3</v>
      </c>
      <c r="AF106" s="9">
        <v>7.4999999999999997E-3</v>
      </c>
      <c r="AG106" s="9">
        <v>51.9</v>
      </c>
      <c r="AH106" s="9">
        <v>0.26</v>
      </c>
      <c r="AI106" s="13">
        <v>6</v>
      </c>
      <c r="AJ106" s="9">
        <f t="shared" si="4"/>
        <v>0</v>
      </c>
      <c r="AK106" s="9">
        <v>13</v>
      </c>
      <c r="AL106" s="9">
        <v>48</v>
      </c>
      <c r="AM106" s="9">
        <v>10.25</v>
      </c>
      <c r="AN106" s="15">
        <v>0.4</v>
      </c>
      <c r="AO106" s="9">
        <f t="shared" si="41"/>
        <v>0.9</v>
      </c>
      <c r="AP106" s="9">
        <v>8.5</v>
      </c>
      <c r="AQ106" s="9">
        <f t="shared" si="35"/>
        <v>0.6</v>
      </c>
      <c r="AR106" s="9">
        <v>5.5</v>
      </c>
      <c r="AS106" s="9">
        <v>0.6</v>
      </c>
      <c r="AT106" s="9">
        <v>0.4</v>
      </c>
      <c r="AU106" s="9">
        <v>32</v>
      </c>
      <c r="AV106" s="15">
        <v>0.5</v>
      </c>
      <c r="AW106" s="12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48</v>
      </c>
      <c r="BD106" s="9">
        <v>37.85</v>
      </c>
      <c r="BE106" s="9">
        <v>7.5</v>
      </c>
      <c r="BF106" s="9">
        <f t="shared" si="8"/>
        <v>0.4</v>
      </c>
      <c r="BG106" s="9">
        <f t="shared" si="32"/>
        <v>2</v>
      </c>
      <c r="BH106" s="9">
        <v>6</v>
      </c>
      <c r="BI106" s="9">
        <f t="shared" si="10"/>
        <v>0</v>
      </c>
      <c r="BJ106" s="9">
        <v>2</v>
      </c>
      <c r="BK106" s="9">
        <v>0</v>
      </c>
      <c r="BL106" s="15">
        <v>8</v>
      </c>
      <c r="BM106" s="14">
        <v>0.67</v>
      </c>
      <c r="BN106" s="8">
        <v>0</v>
      </c>
      <c r="BO106" s="14">
        <v>0</v>
      </c>
      <c r="BP106" s="14">
        <v>0</v>
      </c>
      <c r="BQ106" s="14">
        <f t="shared" si="42"/>
        <v>0.3</v>
      </c>
      <c r="BR106" s="15">
        <v>0</v>
      </c>
      <c r="BS106" s="15">
        <f t="shared" si="29"/>
        <v>0.10199999999999999</v>
      </c>
      <c r="BT106" s="14">
        <v>0</v>
      </c>
      <c r="BU106" s="14">
        <v>0</v>
      </c>
      <c r="BV106" s="15">
        <v>350</v>
      </c>
      <c r="BW106" s="15">
        <v>0.38400000000000001</v>
      </c>
      <c r="BX106" s="15">
        <f t="shared" si="13"/>
        <v>0</v>
      </c>
      <c r="BY106" s="14">
        <f t="shared" si="14"/>
        <v>43</v>
      </c>
      <c r="BZ106" s="14">
        <f t="shared" si="15"/>
        <v>0</v>
      </c>
      <c r="CA106" s="14">
        <f t="shared" si="16"/>
        <v>0</v>
      </c>
      <c r="CB106" s="14">
        <f t="shared" si="17"/>
        <v>43</v>
      </c>
      <c r="CC106" s="15">
        <f t="shared" si="18"/>
        <v>0.71</v>
      </c>
      <c r="CD106" s="14">
        <f t="shared" si="19"/>
        <v>30.53</v>
      </c>
      <c r="CE106" s="14">
        <f t="shared" si="20"/>
        <v>0.88</v>
      </c>
      <c r="CF106" s="14">
        <f t="shared" si="21"/>
        <v>26.87</v>
      </c>
      <c r="CG106" s="14">
        <f t="shared" si="22"/>
        <v>117</v>
      </c>
    </row>
    <row r="107" spans="1:85" ht="13.2" x14ac:dyDescent="0.25">
      <c r="A107" s="8">
        <v>694211</v>
      </c>
      <c r="B107" s="9" t="s">
        <v>207</v>
      </c>
      <c r="C107" s="9" t="s">
        <v>179</v>
      </c>
      <c r="D107" s="9">
        <v>0</v>
      </c>
      <c r="E107" s="9">
        <v>1</v>
      </c>
      <c r="F107" s="9">
        <v>1</v>
      </c>
      <c r="G107" s="9">
        <v>0</v>
      </c>
      <c r="H107" s="9">
        <v>27</v>
      </c>
      <c r="I107" s="9">
        <v>26</v>
      </c>
      <c r="J107" s="11">
        <f t="shared" si="44"/>
        <v>0</v>
      </c>
      <c r="K107" s="10">
        <v>41</v>
      </c>
      <c r="L107" s="11">
        <v>3.9</v>
      </c>
      <c r="M107" s="11">
        <v>0.1</v>
      </c>
      <c r="N107" s="11" t="s">
        <v>180</v>
      </c>
      <c r="O107" s="11">
        <v>6</v>
      </c>
      <c r="P107" s="9" t="s">
        <v>137</v>
      </c>
      <c r="Q107" s="9">
        <v>1</v>
      </c>
      <c r="R107" s="9">
        <v>35</v>
      </c>
      <c r="S107" s="10">
        <v>0</v>
      </c>
      <c r="T107" s="10">
        <v>25.71</v>
      </c>
      <c r="U107" s="10">
        <f t="shared" si="1"/>
        <v>0.5</v>
      </c>
      <c r="V107" s="9">
        <v>19.23</v>
      </c>
      <c r="W107" s="10">
        <f t="shared" si="43"/>
        <v>0</v>
      </c>
      <c r="X107" s="10">
        <v>20</v>
      </c>
      <c r="Y107" s="10">
        <v>25</v>
      </c>
      <c r="Z107" s="10">
        <v>0</v>
      </c>
      <c r="AA107" s="10">
        <v>0</v>
      </c>
      <c r="AB107" s="9">
        <v>12.5</v>
      </c>
      <c r="AC107" s="9">
        <f t="shared" si="3"/>
        <v>3</v>
      </c>
      <c r="AD107" s="9">
        <v>2</v>
      </c>
      <c r="AE107" s="9">
        <v>0.25</v>
      </c>
      <c r="AF107" s="9">
        <v>6.2500000000000003E-3</v>
      </c>
      <c r="AG107" s="9">
        <v>48.5</v>
      </c>
      <c r="AH107" s="9">
        <v>0.24299999999999999</v>
      </c>
      <c r="AI107" s="13">
        <v>5</v>
      </c>
      <c r="AJ107" s="9">
        <f t="shared" si="4"/>
        <v>0</v>
      </c>
      <c r="AK107" s="9">
        <v>31</v>
      </c>
      <c r="AL107" s="9">
        <v>99.2</v>
      </c>
      <c r="AM107" s="9">
        <v>8.02</v>
      </c>
      <c r="AN107" s="15">
        <v>0.9</v>
      </c>
      <c r="AO107" s="9">
        <f t="shared" si="41"/>
        <v>0.9</v>
      </c>
      <c r="AP107" s="9">
        <v>8.5</v>
      </c>
      <c r="AQ107" s="9">
        <f t="shared" si="35"/>
        <v>0.3</v>
      </c>
      <c r="AR107" s="9">
        <v>3.5</v>
      </c>
      <c r="AS107" s="9">
        <v>0.8</v>
      </c>
      <c r="AT107" s="9">
        <v>0.53</v>
      </c>
      <c r="AU107" s="9">
        <v>43</v>
      </c>
      <c r="AV107" s="15">
        <v>0.8</v>
      </c>
      <c r="AW107" s="12">
        <v>5</v>
      </c>
      <c r="AX107" s="9">
        <v>0.1</v>
      </c>
      <c r="AY107" s="9">
        <v>0</v>
      </c>
      <c r="AZ107" s="9">
        <v>0</v>
      </c>
      <c r="BA107" s="9">
        <v>0</v>
      </c>
      <c r="BB107" s="9">
        <v>0</v>
      </c>
      <c r="BC107" s="9">
        <v>99.2</v>
      </c>
      <c r="BD107" s="9">
        <v>25.71</v>
      </c>
      <c r="BE107" s="9">
        <v>7</v>
      </c>
      <c r="BF107" s="9">
        <f t="shared" si="8"/>
        <v>0.3</v>
      </c>
      <c r="BG107" s="9">
        <f t="shared" si="32"/>
        <v>2</v>
      </c>
      <c r="BH107" s="9">
        <v>6</v>
      </c>
      <c r="BI107" s="9">
        <f t="shared" si="10"/>
        <v>0</v>
      </c>
      <c r="BJ107" s="9">
        <v>2</v>
      </c>
      <c r="BK107" s="9">
        <v>0</v>
      </c>
      <c r="BL107" s="15">
        <v>6</v>
      </c>
      <c r="BM107" s="14">
        <v>0</v>
      </c>
      <c r="BN107" s="8">
        <v>1</v>
      </c>
      <c r="BO107" s="14">
        <v>0</v>
      </c>
      <c r="BP107" s="14">
        <v>0</v>
      </c>
      <c r="BQ107" s="14">
        <f t="shared" si="42"/>
        <v>0.4</v>
      </c>
      <c r="BR107" s="15">
        <v>0</v>
      </c>
      <c r="BS107" s="15">
        <f t="shared" si="29"/>
        <v>1.8139999999999998</v>
      </c>
      <c r="BT107" s="14">
        <v>0</v>
      </c>
      <c r="BU107" s="14">
        <v>0</v>
      </c>
      <c r="BV107" s="15">
        <v>769.1</v>
      </c>
      <c r="BW107" s="15">
        <v>0.83699999999999997</v>
      </c>
      <c r="BX107" s="15">
        <f t="shared" si="13"/>
        <v>0</v>
      </c>
      <c r="BY107" s="14">
        <f t="shared" si="14"/>
        <v>59.9</v>
      </c>
      <c r="BZ107" s="14">
        <f t="shared" si="15"/>
        <v>5.5830000000000002</v>
      </c>
      <c r="CA107" s="14">
        <f t="shared" si="16"/>
        <v>0</v>
      </c>
      <c r="CB107" s="14">
        <f t="shared" si="17"/>
        <v>65.483000000000004</v>
      </c>
      <c r="CC107" s="15">
        <f t="shared" si="18"/>
        <v>0.88100000000000001</v>
      </c>
      <c r="CD107" s="14">
        <f t="shared" si="19"/>
        <v>57.69</v>
      </c>
      <c r="CE107" s="14">
        <f t="shared" si="20"/>
        <v>0.89500000000000002</v>
      </c>
      <c r="CF107" s="14">
        <f t="shared" si="21"/>
        <v>51.63</v>
      </c>
      <c r="CG107" s="14">
        <f t="shared" si="22"/>
        <v>24</v>
      </c>
    </row>
    <row r="108" spans="1:85" ht="13.2" x14ac:dyDescent="0.25">
      <c r="A108" s="8">
        <v>330902</v>
      </c>
      <c r="B108" s="9" t="s">
        <v>208</v>
      </c>
      <c r="C108" s="9" t="s">
        <v>179</v>
      </c>
      <c r="D108" s="9">
        <v>0</v>
      </c>
      <c r="E108" s="9">
        <v>1</v>
      </c>
      <c r="F108" s="9">
        <v>1</v>
      </c>
      <c r="G108" s="9">
        <v>0</v>
      </c>
      <c r="H108" s="9">
        <v>29</v>
      </c>
      <c r="I108" s="9">
        <v>28</v>
      </c>
      <c r="J108" s="11">
        <f t="shared" si="44"/>
        <v>0</v>
      </c>
      <c r="K108" s="10">
        <v>13</v>
      </c>
      <c r="L108" s="11">
        <v>6</v>
      </c>
      <c r="M108" s="11">
        <v>0.2</v>
      </c>
      <c r="N108" s="11" t="s">
        <v>180</v>
      </c>
      <c r="O108" s="11">
        <v>6</v>
      </c>
      <c r="P108" s="9" t="s">
        <v>88</v>
      </c>
      <c r="Q108" s="9">
        <v>0</v>
      </c>
      <c r="R108" s="9">
        <v>29</v>
      </c>
      <c r="S108" s="10">
        <v>0</v>
      </c>
      <c r="T108" s="10">
        <v>26.53</v>
      </c>
      <c r="U108" s="10">
        <f t="shared" si="1"/>
        <v>0.5</v>
      </c>
      <c r="V108" s="9">
        <v>18.71</v>
      </c>
      <c r="W108" s="10">
        <f t="shared" si="43"/>
        <v>0</v>
      </c>
      <c r="X108" s="10">
        <v>20</v>
      </c>
      <c r="Y108" s="10">
        <v>15</v>
      </c>
      <c r="Z108" s="10">
        <v>0</v>
      </c>
      <c r="AA108" s="10">
        <v>0</v>
      </c>
      <c r="AB108" s="9">
        <v>8</v>
      </c>
      <c r="AC108" s="9">
        <f t="shared" si="3"/>
        <v>3</v>
      </c>
      <c r="AD108" s="9">
        <v>0.5</v>
      </c>
      <c r="AE108" s="9">
        <v>0.05</v>
      </c>
      <c r="AF108" s="9">
        <v>1.25E-3</v>
      </c>
      <c r="AG108" s="9">
        <v>100</v>
      </c>
      <c r="AH108" s="9">
        <v>0.5</v>
      </c>
      <c r="AI108" s="13">
        <v>5</v>
      </c>
      <c r="AJ108" s="9">
        <f t="shared" si="4"/>
        <v>0</v>
      </c>
      <c r="AK108" s="9">
        <v>34</v>
      </c>
      <c r="AL108" s="9">
        <v>106</v>
      </c>
      <c r="AM108" s="9">
        <v>8.51</v>
      </c>
      <c r="AN108" s="15">
        <v>0.7</v>
      </c>
      <c r="AO108" s="9">
        <f t="shared" si="41"/>
        <v>0.9</v>
      </c>
      <c r="AP108" s="9">
        <v>8</v>
      </c>
      <c r="AQ108" s="9">
        <f t="shared" si="35"/>
        <v>0.6</v>
      </c>
      <c r="AR108" s="9">
        <v>5.5</v>
      </c>
      <c r="AS108" s="9">
        <v>0.8</v>
      </c>
      <c r="AT108" s="9">
        <v>0.53</v>
      </c>
      <c r="AU108" s="9">
        <v>40</v>
      </c>
      <c r="AV108" s="15">
        <v>0.7</v>
      </c>
      <c r="AW108" s="12">
        <v>5</v>
      </c>
      <c r="AX108" s="9">
        <v>0.1</v>
      </c>
      <c r="AY108" s="9">
        <v>0</v>
      </c>
      <c r="AZ108" s="9">
        <v>0</v>
      </c>
      <c r="BA108" s="9">
        <v>0</v>
      </c>
      <c r="BB108" s="9">
        <v>0</v>
      </c>
      <c r="BC108" s="9">
        <v>106</v>
      </c>
      <c r="BD108" s="9">
        <v>26.53</v>
      </c>
      <c r="BE108" s="9">
        <v>7</v>
      </c>
      <c r="BF108" s="9">
        <f t="shared" si="8"/>
        <v>0.3</v>
      </c>
      <c r="BG108" s="9">
        <f t="shared" si="32"/>
        <v>2</v>
      </c>
      <c r="BH108" s="9">
        <v>7</v>
      </c>
      <c r="BI108" s="9">
        <f t="shared" si="10"/>
        <v>0.3</v>
      </c>
      <c r="BJ108" s="9">
        <v>2</v>
      </c>
      <c r="BK108" s="9">
        <v>0</v>
      </c>
      <c r="BL108" s="15">
        <v>7</v>
      </c>
      <c r="BM108" s="14">
        <v>0.33</v>
      </c>
      <c r="BN108" s="8">
        <v>1.4</v>
      </c>
      <c r="BO108" s="14">
        <v>0</v>
      </c>
      <c r="BP108" s="14">
        <v>0</v>
      </c>
      <c r="BQ108" s="14">
        <f t="shared" si="42"/>
        <v>0.4</v>
      </c>
      <c r="BR108" s="15">
        <v>0.56999999999999995</v>
      </c>
      <c r="BS108" s="15">
        <f t="shared" si="29"/>
        <v>1.2014200000000002</v>
      </c>
      <c r="BT108" s="14">
        <v>0</v>
      </c>
      <c r="BU108" s="14">
        <v>0</v>
      </c>
      <c r="BV108" s="15">
        <v>825.84</v>
      </c>
      <c r="BW108" s="15">
        <v>0.89900000000000002</v>
      </c>
      <c r="BX108" s="15">
        <f t="shared" si="13"/>
        <v>0</v>
      </c>
      <c r="BY108" s="14">
        <f t="shared" si="14"/>
        <v>56.399999999999991</v>
      </c>
      <c r="BZ108" s="14">
        <f t="shared" si="15"/>
        <v>6.9169999999999998</v>
      </c>
      <c r="CA108" s="14">
        <f t="shared" si="16"/>
        <v>0</v>
      </c>
      <c r="CB108" s="14">
        <f t="shared" si="17"/>
        <v>63.316999999999993</v>
      </c>
      <c r="CC108" s="15">
        <f t="shared" si="18"/>
        <v>0.93400000000000005</v>
      </c>
      <c r="CD108" s="14">
        <f t="shared" si="19"/>
        <v>59.14</v>
      </c>
      <c r="CE108" s="14">
        <f t="shared" si="20"/>
        <v>0.79</v>
      </c>
      <c r="CF108" s="14">
        <f t="shared" si="21"/>
        <v>46.72</v>
      </c>
      <c r="CG108" s="14">
        <f t="shared" si="22"/>
        <v>35</v>
      </c>
    </row>
    <row r="109" spans="1:85" ht="13.2" x14ac:dyDescent="0.25">
      <c r="A109" s="8">
        <v>1125976</v>
      </c>
      <c r="B109" s="9" t="s">
        <v>209</v>
      </c>
      <c r="C109" s="9" t="s">
        <v>179</v>
      </c>
      <c r="D109" s="9">
        <v>0</v>
      </c>
      <c r="E109" s="9">
        <v>1</v>
      </c>
      <c r="F109" s="9">
        <v>0</v>
      </c>
      <c r="G109" s="9">
        <v>0</v>
      </c>
      <c r="H109" s="9">
        <v>20</v>
      </c>
      <c r="I109" s="9">
        <v>20</v>
      </c>
      <c r="J109" s="11">
        <f t="shared" si="44"/>
        <v>0</v>
      </c>
      <c r="K109" s="10">
        <v>0</v>
      </c>
      <c r="L109" s="11">
        <v>0</v>
      </c>
      <c r="M109" s="11">
        <v>0.1</v>
      </c>
      <c r="N109" s="11" t="s">
        <v>180</v>
      </c>
      <c r="O109" s="11">
        <v>6</v>
      </c>
      <c r="P109" s="9" t="s">
        <v>88</v>
      </c>
      <c r="Q109" s="9">
        <v>0</v>
      </c>
      <c r="R109" s="9">
        <v>25</v>
      </c>
      <c r="S109" s="10">
        <v>0</v>
      </c>
      <c r="T109" s="10">
        <v>0</v>
      </c>
      <c r="U109" s="10">
        <f t="shared" si="1"/>
        <v>0</v>
      </c>
      <c r="V109" s="9">
        <v>22.39</v>
      </c>
      <c r="W109" s="10">
        <f t="shared" si="43"/>
        <v>0</v>
      </c>
      <c r="X109" s="10">
        <v>0</v>
      </c>
      <c r="Y109" s="10">
        <v>0</v>
      </c>
      <c r="Z109" s="10">
        <v>0</v>
      </c>
      <c r="AA109" s="10">
        <v>0</v>
      </c>
      <c r="AB109" s="9">
        <v>11.5</v>
      </c>
      <c r="AC109" s="9">
        <f t="shared" si="3"/>
        <v>3</v>
      </c>
      <c r="AD109" s="9">
        <v>0.5</v>
      </c>
      <c r="AE109" s="9">
        <v>0.05</v>
      </c>
      <c r="AF109" s="9">
        <v>1.25E-3</v>
      </c>
      <c r="AG109" s="9">
        <v>2</v>
      </c>
      <c r="AH109" s="9">
        <v>0.01</v>
      </c>
      <c r="AI109" s="13">
        <v>7</v>
      </c>
      <c r="AJ109" s="9">
        <f t="shared" si="4"/>
        <v>0</v>
      </c>
      <c r="AK109" s="9">
        <v>18</v>
      </c>
      <c r="AL109" s="9">
        <v>67.099999999999994</v>
      </c>
      <c r="AM109" s="9">
        <v>9.56</v>
      </c>
      <c r="AN109" s="15">
        <v>0.5</v>
      </c>
      <c r="AO109" s="9">
        <f t="shared" si="41"/>
        <v>0.9</v>
      </c>
      <c r="AP109" s="9">
        <v>8.5</v>
      </c>
      <c r="AQ109" s="9">
        <f t="shared" si="35"/>
        <v>0.4</v>
      </c>
      <c r="AR109" s="9">
        <v>4.5</v>
      </c>
      <c r="AS109" s="9">
        <v>0.6</v>
      </c>
      <c r="AT109" s="9">
        <v>0.4</v>
      </c>
      <c r="AU109" s="9">
        <v>31</v>
      </c>
      <c r="AV109" s="15">
        <v>0.4</v>
      </c>
      <c r="AW109" s="12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67.099999999999994</v>
      </c>
      <c r="BD109" s="9">
        <v>35.67</v>
      </c>
      <c r="BE109" s="9">
        <v>7</v>
      </c>
      <c r="BF109" s="9">
        <f t="shared" si="8"/>
        <v>0.3</v>
      </c>
      <c r="BG109" s="9">
        <f t="shared" si="32"/>
        <v>2</v>
      </c>
      <c r="BH109" s="9">
        <v>7</v>
      </c>
      <c r="BI109" s="9">
        <f t="shared" si="10"/>
        <v>0.3</v>
      </c>
      <c r="BJ109" s="9">
        <v>2</v>
      </c>
      <c r="BK109" s="9">
        <v>0</v>
      </c>
      <c r="BL109" s="15">
        <v>8</v>
      </c>
      <c r="BM109" s="14">
        <v>0.67</v>
      </c>
      <c r="BN109" s="8">
        <v>0</v>
      </c>
      <c r="BO109" s="14">
        <v>0</v>
      </c>
      <c r="BP109" s="14">
        <v>0</v>
      </c>
      <c r="BQ109" s="14">
        <f t="shared" si="42"/>
        <v>0.3</v>
      </c>
      <c r="BR109" s="15">
        <v>0</v>
      </c>
      <c r="BS109" s="15">
        <f t="shared" si="29"/>
        <v>5.8999999999999997E-2</v>
      </c>
      <c r="BT109" s="14">
        <v>0</v>
      </c>
      <c r="BU109" s="14">
        <v>0</v>
      </c>
      <c r="BV109" s="15">
        <v>502.3</v>
      </c>
      <c r="BW109" s="15">
        <v>0.54800000000000004</v>
      </c>
      <c r="BX109" s="15">
        <f t="shared" si="13"/>
        <v>0</v>
      </c>
      <c r="BY109" s="14">
        <f t="shared" si="14"/>
        <v>42.5</v>
      </c>
      <c r="BZ109" s="14">
        <f t="shared" si="15"/>
        <v>0</v>
      </c>
      <c r="CA109" s="14">
        <f t="shared" si="16"/>
        <v>0</v>
      </c>
      <c r="CB109" s="14">
        <f t="shared" si="17"/>
        <v>42.5</v>
      </c>
      <c r="CC109" s="15">
        <f t="shared" si="18"/>
        <v>0.70599999999999996</v>
      </c>
      <c r="CD109" s="14">
        <f t="shared" si="19"/>
        <v>30.01</v>
      </c>
      <c r="CE109" s="14">
        <f t="shared" si="20"/>
        <v>0.92</v>
      </c>
      <c r="CF109" s="14">
        <f t="shared" si="21"/>
        <v>27.61</v>
      </c>
      <c r="CG109" s="14">
        <f t="shared" si="22"/>
        <v>115</v>
      </c>
    </row>
    <row r="110" spans="1:85" ht="13.2" x14ac:dyDescent="0.25">
      <c r="A110" s="8">
        <v>276298</v>
      </c>
      <c r="B110" s="9" t="s">
        <v>210</v>
      </c>
      <c r="C110" s="9" t="s">
        <v>179</v>
      </c>
      <c r="D110" s="9">
        <v>0</v>
      </c>
      <c r="E110" s="9">
        <v>1</v>
      </c>
      <c r="F110" s="9">
        <v>0</v>
      </c>
      <c r="G110" s="9">
        <v>0</v>
      </c>
      <c r="H110" s="9">
        <v>26</v>
      </c>
      <c r="I110" s="9">
        <v>19</v>
      </c>
      <c r="J110" s="11">
        <f t="shared" si="44"/>
        <v>0</v>
      </c>
      <c r="K110" s="10">
        <v>0</v>
      </c>
      <c r="L110" s="11">
        <v>0</v>
      </c>
      <c r="M110" s="11">
        <v>0.1</v>
      </c>
      <c r="N110" s="11" t="s">
        <v>180</v>
      </c>
      <c r="O110" s="11">
        <v>6</v>
      </c>
      <c r="P110" s="9" t="s">
        <v>88</v>
      </c>
      <c r="Q110" s="9">
        <v>0</v>
      </c>
      <c r="R110" s="9">
        <v>32</v>
      </c>
      <c r="S110" s="10">
        <v>0</v>
      </c>
      <c r="T110" s="10">
        <v>0</v>
      </c>
      <c r="U110" s="10">
        <f t="shared" si="1"/>
        <v>0</v>
      </c>
      <c r="V110" s="9">
        <v>19.93</v>
      </c>
      <c r="W110" s="10">
        <f t="shared" si="43"/>
        <v>0</v>
      </c>
      <c r="X110" s="10">
        <v>0</v>
      </c>
      <c r="Y110" s="10">
        <v>0</v>
      </c>
      <c r="Z110" s="10">
        <v>0</v>
      </c>
      <c r="AA110" s="10">
        <v>0</v>
      </c>
      <c r="AB110" s="9">
        <v>3.2</v>
      </c>
      <c r="AC110" s="9">
        <f t="shared" si="3"/>
        <v>3</v>
      </c>
      <c r="AD110" s="9">
        <v>2</v>
      </c>
      <c r="AE110" s="9">
        <v>0.15</v>
      </c>
      <c r="AF110" s="9">
        <v>3.7499999999999999E-3</v>
      </c>
      <c r="AG110" s="9">
        <v>100</v>
      </c>
      <c r="AH110" s="9">
        <v>0.5</v>
      </c>
      <c r="AI110" s="13">
        <v>7</v>
      </c>
      <c r="AJ110" s="9">
        <f t="shared" si="4"/>
        <v>0</v>
      </c>
      <c r="AK110" s="9">
        <v>29</v>
      </c>
      <c r="AL110" s="9">
        <v>96.2</v>
      </c>
      <c r="AM110" s="9">
        <v>9.08</v>
      </c>
      <c r="AN110" s="15">
        <v>0.6</v>
      </c>
      <c r="AO110" s="9">
        <f t="shared" si="41"/>
        <v>0.9</v>
      </c>
      <c r="AP110" s="9">
        <v>8</v>
      </c>
      <c r="AQ110" s="9">
        <f t="shared" si="35"/>
        <v>0.4</v>
      </c>
      <c r="AR110" s="9">
        <v>4.5</v>
      </c>
      <c r="AS110" s="9">
        <v>0.7</v>
      </c>
      <c r="AT110" s="9">
        <v>0.47</v>
      </c>
      <c r="AU110" s="9">
        <v>38</v>
      </c>
      <c r="AV110" s="15">
        <v>0.6</v>
      </c>
      <c r="AW110" s="12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96.2</v>
      </c>
      <c r="BD110" s="9">
        <v>30.17</v>
      </c>
      <c r="BE110" s="9">
        <v>7.5</v>
      </c>
      <c r="BF110" s="9">
        <f t="shared" si="8"/>
        <v>0.4</v>
      </c>
      <c r="BG110" s="9">
        <f t="shared" si="32"/>
        <v>2</v>
      </c>
      <c r="BH110" s="9">
        <v>6</v>
      </c>
      <c r="BI110" s="9">
        <f t="shared" si="10"/>
        <v>0</v>
      </c>
      <c r="BJ110" s="9">
        <v>2</v>
      </c>
      <c r="BK110" s="9">
        <v>0</v>
      </c>
      <c r="BL110" s="15">
        <v>7</v>
      </c>
      <c r="BM110" s="14">
        <v>0.33</v>
      </c>
      <c r="BN110" s="8">
        <v>0</v>
      </c>
      <c r="BO110" s="14">
        <v>0</v>
      </c>
      <c r="BP110" s="14">
        <v>0</v>
      </c>
      <c r="BQ110" s="14">
        <f t="shared" si="42"/>
        <v>0.4</v>
      </c>
      <c r="BR110" s="15">
        <v>0</v>
      </c>
      <c r="BS110" s="15">
        <f t="shared" si="29"/>
        <v>6.7000000000000004E-2</v>
      </c>
      <c r="BT110" s="14">
        <v>0</v>
      </c>
      <c r="BU110" s="14">
        <v>0</v>
      </c>
      <c r="BV110" s="15">
        <v>740.1</v>
      </c>
      <c r="BW110" s="15">
        <v>0.80600000000000005</v>
      </c>
      <c r="BX110" s="15">
        <f t="shared" si="13"/>
        <v>0</v>
      </c>
      <c r="BY110" s="14">
        <f t="shared" si="14"/>
        <v>52.1</v>
      </c>
      <c r="BZ110" s="14">
        <f t="shared" si="15"/>
        <v>0</v>
      </c>
      <c r="CA110" s="14">
        <f t="shared" si="16"/>
        <v>0</v>
      </c>
      <c r="CB110" s="14">
        <f t="shared" si="17"/>
        <v>52.1</v>
      </c>
      <c r="CC110" s="15">
        <f t="shared" si="18"/>
        <v>0.70699999999999996</v>
      </c>
      <c r="CD110" s="14">
        <f t="shared" si="19"/>
        <v>36.83</v>
      </c>
      <c r="CE110" s="14">
        <f t="shared" si="20"/>
        <v>0.92</v>
      </c>
      <c r="CF110" s="14">
        <f t="shared" si="21"/>
        <v>33.880000000000003</v>
      </c>
      <c r="CG110" s="14">
        <f t="shared" si="22"/>
        <v>65</v>
      </c>
    </row>
    <row r="111" spans="1:85" ht="13.2" x14ac:dyDescent="0.25">
      <c r="A111" s="8">
        <v>1032597</v>
      </c>
      <c r="B111" s="9" t="s">
        <v>211</v>
      </c>
      <c r="C111" s="9" t="s">
        <v>179</v>
      </c>
      <c r="D111" s="9">
        <v>0</v>
      </c>
      <c r="E111" s="9">
        <v>1</v>
      </c>
      <c r="F111" s="9">
        <v>0</v>
      </c>
      <c r="G111" s="9">
        <v>0</v>
      </c>
      <c r="H111" s="9">
        <v>18</v>
      </c>
      <c r="I111" s="9">
        <v>24</v>
      </c>
      <c r="J111" s="11">
        <f t="shared" si="44"/>
        <v>0</v>
      </c>
      <c r="K111" s="10">
        <v>0</v>
      </c>
      <c r="L111" s="11">
        <v>0</v>
      </c>
      <c r="M111" s="11">
        <v>0.1</v>
      </c>
      <c r="N111" s="11" t="s">
        <v>180</v>
      </c>
      <c r="O111" s="11">
        <v>6</v>
      </c>
      <c r="P111" s="9" t="s">
        <v>88</v>
      </c>
      <c r="Q111" s="9">
        <v>0</v>
      </c>
      <c r="R111" s="9">
        <v>30</v>
      </c>
      <c r="S111" s="10">
        <v>0</v>
      </c>
      <c r="T111" s="10">
        <v>0</v>
      </c>
      <c r="U111" s="10">
        <f t="shared" si="1"/>
        <v>0</v>
      </c>
      <c r="V111" s="9">
        <v>19.170000000000002</v>
      </c>
      <c r="W111" s="10">
        <f t="shared" si="43"/>
        <v>0</v>
      </c>
      <c r="X111" s="10">
        <v>0</v>
      </c>
      <c r="Y111" s="10">
        <v>0</v>
      </c>
      <c r="Z111" s="10">
        <v>0</v>
      </c>
      <c r="AA111" s="10">
        <v>0</v>
      </c>
      <c r="AB111" s="9">
        <v>3</v>
      </c>
      <c r="AC111" s="9">
        <f t="shared" si="3"/>
        <v>3</v>
      </c>
      <c r="AD111" s="9">
        <v>0.5</v>
      </c>
      <c r="AE111" s="9">
        <v>0.1</v>
      </c>
      <c r="AF111" s="9">
        <v>2.5000000000000001E-3</v>
      </c>
      <c r="AG111" s="9">
        <v>14.7</v>
      </c>
      <c r="AH111" s="9">
        <v>7.3999999999999996E-2</v>
      </c>
      <c r="AI111" s="13">
        <v>9</v>
      </c>
      <c r="AJ111" s="9">
        <f t="shared" si="4"/>
        <v>0.1</v>
      </c>
      <c r="AK111" s="9">
        <v>18</v>
      </c>
      <c r="AL111" s="9">
        <v>57.3</v>
      </c>
      <c r="AM111" s="9">
        <v>8.68</v>
      </c>
      <c r="AN111" s="15">
        <v>0.6</v>
      </c>
      <c r="AO111" s="9">
        <f t="shared" si="41"/>
        <v>0.9</v>
      </c>
      <c r="AP111" s="9">
        <v>8</v>
      </c>
      <c r="AQ111" s="9">
        <f t="shared" si="35"/>
        <v>0.3</v>
      </c>
      <c r="AR111" s="9">
        <v>4</v>
      </c>
      <c r="AS111" s="9">
        <v>0.75</v>
      </c>
      <c r="AT111" s="9">
        <v>0.5</v>
      </c>
      <c r="AU111" s="9">
        <v>39</v>
      </c>
      <c r="AV111" s="15">
        <v>0.7</v>
      </c>
      <c r="AW111" s="12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57.3</v>
      </c>
      <c r="BD111" s="9">
        <v>27.72</v>
      </c>
      <c r="BE111" s="9">
        <v>7</v>
      </c>
      <c r="BF111" s="9">
        <f t="shared" si="8"/>
        <v>0.3</v>
      </c>
      <c r="BG111" s="9">
        <f t="shared" si="32"/>
        <v>2</v>
      </c>
      <c r="BH111" s="9">
        <v>6</v>
      </c>
      <c r="BI111" s="9">
        <f t="shared" si="10"/>
        <v>0</v>
      </c>
      <c r="BJ111" s="9">
        <v>2</v>
      </c>
      <c r="BK111" s="9">
        <v>0</v>
      </c>
      <c r="BL111" s="15">
        <v>7</v>
      </c>
      <c r="BM111" s="14">
        <v>0.33</v>
      </c>
      <c r="BN111" s="8">
        <v>0</v>
      </c>
      <c r="BO111" s="14">
        <v>0</v>
      </c>
      <c r="BP111" s="14">
        <v>0</v>
      </c>
      <c r="BQ111" s="14">
        <f t="shared" si="42"/>
        <v>0.4</v>
      </c>
      <c r="BR111" s="15">
        <v>0</v>
      </c>
      <c r="BS111" s="15">
        <f t="shared" si="29"/>
        <v>7.1000000000000008E-2</v>
      </c>
      <c r="BT111" s="14">
        <v>0</v>
      </c>
      <c r="BU111" s="14">
        <v>0</v>
      </c>
      <c r="BV111" s="15">
        <v>428.9</v>
      </c>
      <c r="BW111" s="15">
        <v>0.47</v>
      </c>
      <c r="BX111" s="15">
        <f t="shared" si="13"/>
        <v>0</v>
      </c>
      <c r="BY111" s="14">
        <f t="shared" si="14"/>
        <v>54.499999999999993</v>
      </c>
      <c r="BZ111" s="14">
        <f t="shared" si="15"/>
        <v>0</v>
      </c>
      <c r="CA111" s="14">
        <f t="shared" si="16"/>
        <v>0</v>
      </c>
      <c r="CB111" s="14">
        <f t="shared" si="17"/>
        <v>54.499999999999993</v>
      </c>
      <c r="CC111" s="15">
        <f t="shared" si="18"/>
        <v>0.70699999999999996</v>
      </c>
      <c r="CD111" s="14">
        <f t="shared" si="19"/>
        <v>38.53</v>
      </c>
      <c r="CE111" s="14">
        <f t="shared" si="20"/>
        <v>0.94</v>
      </c>
      <c r="CF111" s="14">
        <f t="shared" si="21"/>
        <v>36.22</v>
      </c>
      <c r="CG111" s="14">
        <f t="shared" si="22"/>
        <v>57</v>
      </c>
    </row>
    <row r="112" spans="1:85" ht="13.2" x14ac:dyDescent="0.25">
      <c r="A112" s="8">
        <v>430246</v>
      </c>
      <c r="B112" s="9" t="s">
        <v>212</v>
      </c>
      <c r="C112" s="9" t="s">
        <v>179</v>
      </c>
      <c r="D112" s="9">
        <v>0</v>
      </c>
      <c r="E112" s="9">
        <v>1</v>
      </c>
      <c r="F112" s="9">
        <v>0</v>
      </c>
      <c r="G112" s="9">
        <v>0</v>
      </c>
      <c r="H112" s="9">
        <v>22</v>
      </c>
      <c r="I112" s="9">
        <v>20</v>
      </c>
      <c r="J112" s="11">
        <f t="shared" si="44"/>
        <v>0</v>
      </c>
      <c r="K112" s="10">
        <v>0</v>
      </c>
      <c r="L112" s="11">
        <v>0</v>
      </c>
      <c r="M112" s="11">
        <v>0.1</v>
      </c>
      <c r="N112" s="11" t="s">
        <v>180</v>
      </c>
      <c r="O112" s="11">
        <v>6</v>
      </c>
      <c r="P112" s="9" t="s">
        <v>88</v>
      </c>
      <c r="Q112" s="9">
        <v>0</v>
      </c>
      <c r="R112" s="9">
        <v>32</v>
      </c>
      <c r="S112" s="10">
        <v>0</v>
      </c>
      <c r="T112" s="10">
        <v>0</v>
      </c>
      <c r="U112" s="10">
        <f t="shared" si="1"/>
        <v>0</v>
      </c>
      <c r="V112" s="9">
        <v>21.91</v>
      </c>
      <c r="W112" s="10">
        <f t="shared" si="43"/>
        <v>0</v>
      </c>
      <c r="X112" s="10">
        <v>0</v>
      </c>
      <c r="Y112" s="10">
        <v>0</v>
      </c>
      <c r="Z112" s="10">
        <v>0</v>
      </c>
      <c r="AA112" s="10">
        <v>0</v>
      </c>
      <c r="AB112" s="9">
        <v>4</v>
      </c>
      <c r="AC112" s="9">
        <f t="shared" si="3"/>
        <v>3</v>
      </c>
      <c r="AD112" s="9">
        <v>0.5</v>
      </c>
      <c r="AE112" s="9">
        <v>0.15</v>
      </c>
      <c r="AF112" s="9">
        <v>3.7499999999999999E-3</v>
      </c>
      <c r="AG112" s="9">
        <v>50</v>
      </c>
      <c r="AH112" s="9">
        <v>0.25</v>
      </c>
      <c r="AI112" s="13">
        <v>5</v>
      </c>
      <c r="AJ112" s="9">
        <f t="shared" si="4"/>
        <v>0</v>
      </c>
      <c r="AK112" s="9">
        <v>23</v>
      </c>
      <c r="AL112" s="9">
        <v>84</v>
      </c>
      <c r="AM112" s="9">
        <v>8.42</v>
      </c>
      <c r="AN112" s="15">
        <v>0.7</v>
      </c>
      <c r="AO112" s="9">
        <f t="shared" si="41"/>
        <v>1</v>
      </c>
      <c r="AP112" s="9">
        <v>9</v>
      </c>
      <c r="AQ112" s="9">
        <f t="shared" si="35"/>
        <v>0.3</v>
      </c>
      <c r="AR112" s="9">
        <v>3.5</v>
      </c>
      <c r="AS112" s="9">
        <v>0.6</v>
      </c>
      <c r="AT112" s="9">
        <v>0.4</v>
      </c>
      <c r="AU112" s="9">
        <v>37</v>
      </c>
      <c r="AV112" s="15">
        <v>0.6</v>
      </c>
      <c r="AW112" s="12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84</v>
      </c>
      <c r="BD112" s="9">
        <v>30.74</v>
      </c>
      <c r="BE112" s="9">
        <v>7.5</v>
      </c>
      <c r="BF112" s="9">
        <f t="shared" si="8"/>
        <v>0.4</v>
      </c>
      <c r="BG112" s="9">
        <f t="shared" si="32"/>
        <v>2</v>
      </c>
      <c r="BH112" s="9">
        <v>7</v>
      </c>
      <c r="BI112" s="9">
        <f t="shared" si="10"/>
        <v>0.3</v>
      </c>
      <c r="BJ112" s="9">
        <v>2</v>
      </c>
      <c r="BK112" s="9">
        <v>0</v>
      </c>
      <c r="BL112" s="15">
        <v>8</v>
      </c>
      <c r="BM112" s="14">
        <v>0.67</v>
      </c>
      <c r="BN112" s="8">
        <v>0</v>
      </c>
      <c r="BO112" s="14">
        <v>0</v>
      </c>
      <c r="BP112" s="14">
        <v>0</v>
      </c>
      <c r="BQ112" s="14">
        <f t="shared" si="42"/>
        <v>0.4</v>
      </c>
      <c r="BR112" s="15">
        <v>0</v>
      </c>
      <c r="BS112" s="15">
        <f t="shared" si="29"/>
        <v>6.7000000000000004E-2</v>
      </c>
      <c r="BT112" s="14">
        <v>0</v>
      </c>
      <c r="BU112" s="14">
        <v>0</v>
      </c>
      <c r="BV112" s="15">
        <v>637.5</v>
      </c>
      <c r="BW112" s="15">
        <v>0.69499999999999995</v>
      </c>
      <c r="BX112" s="15">
        <f t="shared" si="13"/>
        <v>0</v>
      </c>
      <c r="BY112" s="14">
        <f t="shared" si="14"/>
        <v>52</v>
      </c>
      <c r="BZ112" s="14">
        <f t="shared" si="15"/>
        <v>0</v>
      </c>
      <c r="CA112" s="14">
        <f t="shared" si="16"/>
        <v>0</v>
      </c>
      <c r="CB112" s="14">
        <f t="shared" si="17"/>
        <v>52</v>
      </c>
      <c r="CC112" s="15">
        <f t="shared" si="18"/>
        <v>0.70699999999999996</v>
      </c>
      <c r="CD112" s="14">
        <f t="shared" si="19"/>
        <v>36.76</v>
      </c>
      <c r="CE112" s="14">
        <f t="shared" si="20"/>
        <v>0.94</v>
      </c>
      <c r="CF112" s="14">
        <f t="shared" si="21"/>
        <v>34.549999999999997</v>
      </c>
      <c r="CG112" s="14">
        <f t="shared" si="22"/>
        <v>62</v>
      </c>
    </row>
    <row r="113" spans="1:85" ht="13.2" x14ac:dyDescent="0.25">
      <c r="A113" s="8">
        <v>662973</v>
      </c>
      <c r="B113" s="9" t="s">
        <v>213</v>
      </c>
      <c r="C113" s="9" t="s">
        <v>179</v>
      </c>
      <c r="D113" s="9">
        <v>0</v>
      </c>
      <c r="E113" s="9">
        <v>1</v>
      </c>
      <c r="F113" s="9">
        <v>0</v>
      </c>
      <c r="G113" s="9">
        <v>0</v>
      </c>
      <c r="H113" s="9">
        <v>9</v>
      </c>
      <c r="I113" s="9">
        <v>23</v>
      </c>
      <c r="J113" s="11">
        <f t="shared" si="44"/>
        <v>0</v>
      </c>
      <c r="K113" s="10">
        <v>0</v>
      </c>
      <c r="L113" s="11">
        <v>0</v>
      </c>
      <c r="M113" s="11">
        <v>0.1</v>
      </c>
      <c r="N113" s="11" t="s">
        <v>180</v>
      </c>
      <c r="O113" s="11">
        <v>6</v>
      </c>
      <c r="P113" s="9" t="s">
        <v>88</v>
      </c>
      <c r="Q113" s="9">
        <v>0</v>
      </c>
      <c r="R113" s="9">
        <v>25</v>
      </c>
      <c r="S113" s="10">
        <v>0</v>
      </c>
      <c r="T113" s="10">
        <v>0</v>
      </c>
      <c r="U113" s="10">
        <f t="shared" si="1"/>
        <v>0</v>
      </c>
      <c r="V113" s="9">
        <v>25.2</v>
      </c>
      <c r="W113" s="10">
        <f t="shared" si="43"/>
        <v>0.1</v>
      </c>
      <c r="X113" s="10">
        <v>0</v>
      </c>
      <c r="Y113" s="10">
        <v>0</v>
      </c>
      <c r="Z113" s="10">
        <v>0</v>
      </c>
      <c r="AA113" s="10">
        <v>0</v>
      </c>
      <c r="AB113" s="9">
        <v>5</v>
      </c>
      <c r="AC113" s="9">
        <f t="shared" si="3"/>
        <v>3</v>
      </c>
      <c r="AD113" s="9">
        <v>0.5</v>
      </c>
      <c r="AE113" s="9">
        <v>0.35</v>
      </c>
      <c r="AF113" s="9">
        <v>8.7500000000000008E-3</v>
      </c>
      <c r="AG113" s="9">
        <v>25</v>
      </c>
      <c r="AH113" s="9">
        <v>0.125</v>
      </c>
      <c r="AI113" s="13">
        <v>7</v>
      </c>
      <c r="AJ113" s="9">
        <f t="shared" si="4"/>
        <v>0</v>
      </c>
      <c r="AK113" s="9">
        <v>5</v>
      </c>
      <c r="AL113" s="9">
        <v>21</v>
      </c>
      <c r="AM113" s="9">
        <v>11.05</v>
      </c>
      <c r="AN113" s="15">
        <v>0.2</v>
      </c>
      <c r="AO113" s="9">
        <f t="shared" si="41"/>
        <v>0.9</v>
      </c>
      <c r="AP113" s="9">
        <v>8.5</v>
      </c>
      <c r="AQ113" s="9">
        <f t="shared" si="35"/>
        <v>0.4</v>
      </c>
      <c r="AR113" s="9">
        <v>4.5</v>
      </c>
      <c r="AS113" s="9">
        <v>0.7</v>
      </c>
      <c r="AT113" s="9">
        <v>0.47</v>
      </c>
      <c r="AU113" s="9">
        <v>28</v>
      </c>
      <c r="AV113" s="15">
        <v>0.3</v>
      </c>
      <c r="AW113" s="12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21</v>
      </c>
      <c r="BD113" s="9">
        <v>46.4</v>
      </c>
      <c r="BE113" s="9">
        <v>7</v>
      </c>
      <c r="BF113" s="9">
        <f t="shared" si="8"/>
        <v>0.3</v>
      </c>
      <c r="BG113" s="9">
        <f t="shared" si="32"/>
        <v>2</v>
      </c>
      <c r="BH113" s="9">
        <v>6</v>
      </c>
      <c r="BI113" s="9">
        <f t="shared" si="10"/>
        <v>0</v>
      </c>
      <c r="BJ113" s="9">
        <v>2</v>
      </c>
      <c r="BK113" s="9">
        <v>0.14000000000000001</v>
      </c>
      <c r="BL113" s="15">
        <v>9</v>
      </c>
      <c r="BM113" s="14">
        <v>1</v>
      </c>
      <c r="BN113" s="8">
        <v>0</v>
      </c>
      <c r="BO113" s="14">
        <v>0</v>
      </c>
      <c r="BP113" s="14">
        <v>0</v>
      </c>
      <c r="BQ113" s="14">
        <f t="shared" si="42"/>
        <v>0.2</v>
      </c>
      <c r="BR113" s="15">
        <v>0</v>
      </c>
      <c r="BS113" s="15">
        <f t="shared" si="29"/>
        <v>5.8999999999999997E-2</v>
      </c>
      <c r="BT113" s="14">
        <v>0</v>
      </c>
      <c r="BU113" s="14">
        <v>0</v>
      </c>
      <c r="BV113" s="15">
        <v>128.5</v>
      </c>
      <c r="BW113" s="15">
        <v>0.14399999999999999</v>
      </c>
      <c r="BX113" s="15">
        <f t="shared" si="13"/>
        <v>0</v>
      </c>
      <c r="BY113" s="14">
        <f t="shared" si="14"/>
        <v>36.6</v>
      </c>
      <c r="BZ113" s="14">
        <f t="shared" si="15"/>
        <v>0</v>
      </c>
      <c r="CA113" s="14">
        <f t="shared" si="16"/>
        <v>0</v>
      </c>
      <c r="CB113" s="14">
        <f t="shared" si="17"/>
        <v>36.6</v>
      </c>
      <c r="CC113" s="15">
        <f t="shared" si="18"/>
        <v>0.70599999999999996</v>
      </c>
      <c r="CD113" s="14">
        <f t="shared" si="19"/>
        <v>25.84</v>
      </c>
      <c r="CE113" s="14">
        <f t="shared" si="20"/>
        <v>0.92</v>
      </c>
      <c r="CF113" s="14">
        <f t="shared" si="21"/>
        <v>23.77</v>
      </c>
      <c r="CG113" s="14">
        <f t="shared" si="22"/>
        <v>134</v>
      </c>
    </row>
    <row r="114" spans="1:85" ht="13.2" x14ac:dyDescent="0.25">
      <c r="A114" s="8">
        <v>1232095</v>
      </c>
      <c r="B114" s="9" t="s">
        <v>214</v>
      </c>
      <c r="C114" s="9" t="s">
        <v>179</v>
      </c>
      <c r="D114" s="9">
        <v>0</v>
      </c>
      <c r="E114" s="9">
        <v>1</v>
      </c>
      <c r="F114" s="9">
        <v>0</v>
      </c>
      <c r="G114" s="9">
        <v>0</v>
      </c>
      <c r="H114" s="9">
        <v>13</v>
      </c>
      <c r="I114" s="9">
        <v>26</v>
      </c>
      <c r="J114" s="11">
        <f t="shared" si="44"/>
        <v>0</v>
      </c>
      <c r="K114" s="10">
        <v>0</v>
      </c>
      <c r="L114" s="11">
        <v>0</v>
      </c>
      <c r="M114" s="11">
        <v>0.1</v>
      </c>
      <c r="N114" s="11" t="s">
        <v>180</v>
      </c>
      <c r="O114" s="11">
        <v>6</v>
      </c>
      <c r="P114" s="9" t="s">
        <v>88</v>
      </c>
      <c r="Q114" s="9">
        <v>0</v>
      </c>
      <c r="R114" s="9">
        <v>32</v>
      </c>
      <c r="S114" s="10">
        <v>0</v>
      </c>
      <c r="T114" s="10">
        <v>0</v>
      </c>
      <c r="U114" s="10">
        <f t="shared" si="1"/>
        <v>0</v>
      </c>
      <c r="V114" s="9">
        <v>15.55</v>
      </c>
      <c r="W114" s="10">
        <f t="shared" si="43"/>
        <v>0</v>
      </c>
      <c r="X114" s="10">
        <v>0</v>
      </c>
      <c r="Y114" s="10">
        <v>0</v>
      </c>
      <c r="Z114" s="10">
        <v>0</v>
      </c>
      <c r="AA114" s="10">
        <v>0</v>
      </c>
      <c r="AB114" s="9">
        <v>10.75</v>
      </c>
      <c r="AC114" s="9">
        <f t="shared" si="3"/>
        <v>3</v>
      </c>
      <c r="AD114" s="9">
        <v>0.5</v>
      </c>
      <c r="AE114" s="9">
        <v>0.1</v>
      </c>
      <c r="AF114" s="9">
        <v>2.5000000000000001E-3</v>
      </c>
      <c r="AG114" s="9">
        <v>10</v>
      </c>
      <c r="AH114" s="9">
        <v>0.05</v>
      </c>
      <c r="AI114" s="13">
        <v>5</v>
      </c>
      <c r="AJ114" s="9">
        <f t="shared" si="4"/>
        <v>0</v>
      </c>
      <c r="AK114" s="9">
        <v>20</v>
      </c>
      <c r="AL114" s="9">
        <v>51.5</v>
      </c>
      <c r="AM114" s="9">
        <v>6.48</v>
      </c>
      <c r="AN114" s="15">
        <v>1</v>
      </c>
      <c r="AO114" s="9">
        <f t="shared" si="41"/>
        <v>0.9</v>
      </c>
      <c r="AP114" s="9">
        <v>8</v>
      </c>
      <c r="AQ114" s="9">
        <f t="shared" si="35"/>
        <v>0.2</v>
      </c>
      <c r="AR114" s="9">
        <v>3</v>
      </c>
      <c r="AS114" s="9">
        <v>0.6</v>
      </c>
      <c r="AT114" s="9">
        <v>0.4</v>
      </c>
      <c r="AU114" s="9">
        <v>48</v>
      </c>
      <c r="AV114" s="15">
        <v>0.9</v>
      </c>
      <c r="AW114" s="12">
        <v>0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51.5</v>
      </c>
      <c r="BD114" s="9">
        <v>16.8</v>
      </c>
      <c r="BE114" s="9">
        <v>7</v>
      </c>
      <c r="BF114" s="9">
        <f t="shared" si="8"/>
        <v>0.3</v>
      </c>
      <c r="BG114" s="9">
        <f t="shared" si="32"/>
        <v>2</v>
      </c>
      <c r="BH114" s="9">
        <v>7</v>
      </c>
      <c r="BI114" s="9">
        <f t="shared" si="10"/>
        <v>0.3</v>
      </c>
      <c r="BJ114" s="9">
        <v>3</v>
      </c>
      <c r="BK114" s="9">
        <v>0</v>
      </c>
      <c r="BL114" s="15">
        <v>7</v>
      </c>
      <c r="BM114" s="14">
        <v>0.33</v>
      </c>
      <c r="BN114" s="8">
        <v>0</v>
      </c>
      <c r="BO114" s="14">
        <v>0</v>
      </c>
      <c r="BP114" s="14">
        <v>0</v>
      </c>
      <c r="BQ114" s="14">
        <f t="shared" si="42"/>
        <v>0.4</v>
      </c>
      <c r="BR114" s="15">
        <v>0.84</v>
      </c>
      <c r="BS114" s="15">
        <f t="shared" si="29"/>
        <v>9.4400000000000005E-3</v>
      </c>
      <c r="BT114" s="14">
        <v>0</v>
      </c>
      <c r="BU114" s="14">
        <v>0</v>
      </c>
      <c r="BV114" s="15">
        <v>392.58</v>
      </c>
      <c r="BW114" s="15">
        <v>0.43</v>
      </c>
      <c r="BX114" s="15">
        <f t="shared" si="13"/>
        <v>0</v>
      </c>
      <c r="BY114" s="14">
        <f t="shared" si="14"/>
        <v>58.5</v>
      </c>
      <c r="BZ114" s="14">
        <f t="shared" si="15"/>
        <v>0</v>
      </c>
      <c r="CA114" s="14">
        <f t="shared" si="16"/>
        <v>0</v>
      </c>
      <c r="CB114" s="14">
        <f t="shared" si="17"/>
        <v>58.5</v>
      </c>
      <c r="CC114" s="15">
        <f t="shared" si="18"/>
        <v>0.86899999999999999</v>
      </c>
      <c r="CD114" s="14">
        <f t="shared" si="19"/>
        <v>50.84</v>
      </c>
      <c r="CE114" s="14">
        <f t="shared" si="20"/>
        <v>0.96</v>
      </c>
      <c r="CF114" s="14">
        <f t="shared" si="21"/>
        <v>48.81</v>
      </c>
      <c r="CG114" s="14">
        <f t="shared" si="22"/>
        <v>29</v>
      </c>
    </row>
    <row r="115" spans="1:85" ht="13.2" x14ac:dyDescent="0.25">
      <c r="A115" s="8">
        <v>236779</v>
      </c>
      <c r="B115" s="9" t="s">
        <v>215</v>
      </c>
      <c r="C115" s="9" t="s">
        <v>179</v>
      </c>
      <c r="D115" s="9">
        <v>0</v>
      </c>
      <c r="E115" s="9">
        <v>1</v>
      </c>
      <c r="F115" s="9">
        <v>0</v>
      </c>
      <c r="G115" s="9">
        <v>0</v>
      </c>
      <c r="H115" s="9">
        <v>11</v>
      </c>
      <c r="I115" s="9">
        <v>8</v>
      </c>
      <c r="J115" s="11">
        <f t="shared" si="44"/>
        <v>0</v>
      </c>
      <c r="K115" s="10">
        <v>0</v>
      </c>
      <c r="L115" s="11">
        <v>0</v>
      </c>
      <c r="M115" s="11">
        <v>0.1</v>
      </c>
      <c r="N115" s="11" t="s">
        <v>180</v>
      </c>
      <c r="O115" s="11">
        <v>6</v>
      </c>
      <c r="P115" s="9" t="s">
        <v>103</v>
      </c>
      <c r="Q115" s="9">
        <v>1</v>
      </c>
      <c r="R115" s="9">
        <v>28</v>
      </c>
      <c r="S115" s="10">
        <v>0</v>
      </c>
      <c r="T115" s="10">
        <v>0</v>
      </c>
      <c r="U115" s="10">
        <f t="shared" si="1"/>
        <v>0</v>
      </c>
      <c r="V115" s="9">
        <v>18</v>
      </c>
      <c r="W115" s="10">
        <f t="shared" si="43"/>
        <v>0</v>
      </c>
      <c r="X115" s="10">
        <v>0</v>
      </c>
      <c r="Y115" s="10">
        <v>0</v>
      </c>
      <c r="Z115" s="10">
        <v>0</v>
      </c>
      <c r="AA115" s="10">
        <v>0</v>
      </c>
      <c r="AB115" s="9">
        <v>5</v>
      </c>
      <c r="AC115" s="9">
        <f t="shared" si="3"/>
        <v>3</v>
      </c>
      <c r="AD115" s="9">
        <v>2</v>
      </c>
      <c r="AE115" s="9">
        <v>0.1</v>
      </c>
      <c r="AF115" s="9">
        <v>2.5000000000000001E-3</v>
      </c>
      <c r="AG115" s="9">
        <v>10.8</v>
      </c>
      <c r="AH115" s="9">
        <v>5.3999999999999999E-2</v>
      </c>
      <c r="AI115" s="13">
        <v>9</v>
      </c>
      <c r="AJ115" s="9">
        <f t="shared" si="4"/>
        <v>0.1</v>
      </c>
      <c r="AK115" s="9">
        <v>14</v>
      </c>
      <c r="AL115" s="9">
        <v>42</v>
      </c>
      <c r="AM115" s="9">
        <v>8.64</v>
      </c>
      <c r="AN115" s="15">
        <v>0.6</v>
      </c>
      <c r="AO115" s="9">
        <f t="shared" si="41"/>
        <v>0.9</v>
      </c>
      <c r="AP115" s="9">
        <v>8.5</v>
      </c>
      <c r="AQ115" s="9">
        <f t="shared" si="35"/>
        <v>0.3</v>
      </c>
      <c r="AR115" s="9">
        <v>4</v>
      </c>
      <c r="AS115" s="9">
        <v>0.6</v>
      </c>
      <c r="AT115" s="9">
        <v>0.4</v>
      </c>
      <c r="AU115" s="9">
        <v>39</v>
      </c>
      <c r="AV115" s="15">
        <v>0.7</v>
      </c>
      <c r="AW115" s="12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42</v>
      </c>
      <c r="BD115" s="9">
        <v>25.93</v>
      </c>
      <c r="BE115" s="9">
        <v>7</v>
      </c>
      <c r="BF115" s="9">
        <f t="shared" si="8"/>
        <v>0.3</v>
      </c>
      <c r="BG115" s="9">
        <f t="shared" si="32"/>
        <v>2</v>
      </c>
      <c r="BH115" s="9">
        <v>6</v>
      </c>
      <c r="BI115" s="9">
        <f t="shared" si="10"/>
        <v>0</v>
      </c>
      <c r="BJ115" s="9">
        <v>2</v>
      </c>
      <c r="BK115" s="9">
        <v>0</v>
      </c>
      <c r="BL115" s="15">
        <v>8</v>
      </c>
      <c r="BM115" s="14">
        <v>0.67</v>
      </c>
      <c r="BN115" s="8">
        <v>0</v>
      </c>
      <c r="BO115" s="14">
        <v>0</v>
      </c>
      <c r="BP115" s="14">
        <v>0</v>
      </c>
      <c r="BQ115" s="14">
        <f t="shared" si="42"/>
        <v>0.4</v>
      </c>
      <c r="BR115" s="15">
        <v>0</v>
      </c>
      <c r="BS115" s="15">
        <f t="shared" si="29"/>
        <v>7.1000000000000008E-2</v>
      </c>
      <c r="BT115" s="14">
        <v>0</v>
      </c>
      <c r="BU115" s="14">
        <v>0</v>
      </c>
      <c r="BV115" s="15">
        <v>301.5</v>
      </c>
      <c r="BW115" s="15">
        <v>0.33200000000000002</v>
      </c>
      <c r="BX115" s="15">
        <f t="shared" si="13"/>
        <v>0</v>
      </c>
      <c r="BY115" s="14">
        <f t="shared" si="14"/>
        <v>51.5</v>
      </c>
      <c r="BZ115" s="14">
        <f t="shared" si="15"/>
        <v>0</v>
      </c>
      <c r="CA115" s="14">
        <f t="shared" si="16"/>
        <v>0</v>
      </c>
      <c r="CB115" s="14">
        <f t="shared" si="17"/>
        <v>51.5</v>
      </c>
      <c r="CC115" s="15">
        <f t="shared" si="18"/>
        <v>0.70699999999999996</v>
      </c>
      <c r="CD115" s="14">
        <f t="shared" si="19"/>
        <v>36.409999999999997</v>
      </c>
      <c r="CE115" s="14">
        <f t="shared" si="20"/>
        <v>0.94</v>
      </c>
      <c r="CF115" s="14">
        <f t="shared" si="21"/>
        <v>34.229999999999997</v>
      </c>
      <c r="CG115" s="14">
        <f t="shared" si="22"/>
        <v>63</v>
      </c>
    </row>
    <row r="116" spans="1:85" ht="13.2" x14ac:dyDescent="0.25">
      <c r="A116" s="8">
        <v>329336</v>
      </c>
      <c r="B116" s="9" t="s">
        <v>216</v>
      </c>
      <c r="C116" s="9" t="s">
        <v>179</v>
      </c>
      <c r="D116" s="9">
        <v>0</v>
      </c>
      <c r="E116" s="9">
        <v>1</v>
      </c>
      <c r="F116" s="9">
        <v>0</v>
      </c>
      <c r="G116" s="9">
        <v>0</v>
      </c>
      <c r="H116" s="9">
        <v>11</v>
      </c>
      <c r="I116" s="9">
        <v>10</v>
      </c>
      <c r="J116" s="11">
        <f t="shared" si="44"/>
        <v>0</v>
      </c>
      <c r="K116" s="10">
        <v>0</v>
      </c>
      <c r="L116" s="11">
        <v>0</v>
      </c>
      <c r="M116" s="11">
        <v>0.1</v>
      </c>
      <c r="N116" s="11" t="s">
        <v>180</v>
      </c>
      <c r="O116" s="11">
        <v>6</v>
      </c>
      <c r="P116" s="9" t="s">
        <v>101</v>
      </c>
      <c r="Q116" s="9">
        <v>1</v>
      </c>
      <c r="R116" s="9">
        <v>26</v>
      </c>
      <c r="S116" s="10">
        <v>0</v>
      </c>
      <c r="T116" s="10">
        <v>18.5</v>
      </c>
      <c r="U116" s="10">
        <f t="shared" si="1"/>
        <v>0.3</v>
      </c>
      <c r="V116" s="9">
        <v>20.18</v>
      </c>
      <c r="W116" s="10">
        <f t="shared" si="43"/>
        <v>0</v>
      </c>
      <c r="X116" s="10">
        <v>0</v>
      </c>
      <c r="Y116" s="10">
        <v>0</v>
      </c>
      <c r="Z116" s="10">
        <v>0</v>
      </c>
      <c r="AA116" s="10">
        <v>0</v>
      </c>
      <c r="AB116" s="9">
        <v>3</v>
      </c>
      <c r="AC116" s="9">
        <f t="shared" si="3"/>
        <v>3</v>
      </c>
      <c r="AD116" s="9">
        <v>0.5</v>
      </c>
      <c r="AE116" s="9">
        <v>0.05</v>
      </c>
      <c r="AF116" s="9">
        <v>1.25E-3</v>
      </c>
      <c r="AG116" s="9">
        <v>16.7</v>
      </c>
      <c r="AH116" s="9">
        <v>8.4000000000000005E-2</v>
      </c>
      <c r="AI116" s="13">
        <v>8</v>
      </c>
      <c r="AJ116" s="9">
        <f t="shared" si="4"/>
        <v>0</v>
      </c>
      <c r="AK116" s="9">
        <v>11</v>
      </c>
      <c r="AL116" s="9">
        <v>37</v>
      </c>
      <c r="AM116" s="9">
        <v>10.7</v>
      </c>
      <c r="AN116" s="15">
        <v>0.5</v>
      </c>
      <c r="AO116" s="9">
        <f t="shared" si="41"/>
        <v>1</v>
      </c>
      <c r="AP116" s="9">
        <v>9</v>
      </c>
      <c r="AQ116" s="9">
        <f t="shared" si="35"/>
        <v>0.2</v>
      </c>
      <c r="AR116" s="9">
        <v>3</v>
      </c>
      <c r="AS116" s="9">
        <v>0.8</v>
      </c>
      <c r="AT116" s="9">
        <v>0.53</v>
      </c>
      <c r="AU116" s="9">
        <v>32</v>
      </c>
      <c r="AV116" s="15">
        <v>0.5</v>
      </c>
      <c r="AW116" s="12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37</v>
      </c>
      <c r="BD116" s="9">
        <v>36</v>
      </c>
      <c r="BE116" s="9">
        <v>7.5</v>
      </c>
      <c r="BF116" s="9">
        <f t="shared" si="8"/>
        <v>0.4</v>
      </c>
      <c r="BG116" s="9">
        <f t="shared" si="32"/>
        <v>2</v>
      </c>
      <c r="BH116" s="9">
        <v>6</v>
      </c>
      <c r="BI116" s="9">
        <f t="shared" si="10"/>
        <v>0</v>
      </c>
      <c r="BJ116" s="9">
        <v>2</v>
      </c>
      <c r="BK116" s="9">
        <v>0</v>
      </c>
      <c r="BL116" s="15">
        <v>7</v>
      </c>
      <c r="BM116" s="14">
        <v>0.33</v>
      </c>
      <c r="BN116" s="8">
        <v>0</v>
      </c>
      <c r="BO116" s="14">
        <v>0</v>
      </c>
      <c r="BP116" s="14">
        <v>0</v>
      </c>
      <c r="BQ116" s="14">
        <f t="shared" si="42"/>
        <v>0.3</v>
      </c>
      <c r="BR116" s="15">
        <v>0</v>
      </c>
      <c r="BS116" s="15">
        <f t="shared" si="29"/>
        <v>6.7000000000000004E-2</v>
      </c>
      <c r="BT116" s="14">
        <v>0</v>
      </c>
      <c r="BU116" s="14">
        <v>0</v>
      </c>
      <c r="BV116" s="15">
        <v>266.5</v>
      </c>
      <c r="BW116" s="15">
        <v>0.29399999999999998</v>
      </c>
      <c r="BX116" s="15">
        <f t="shared" si="13"/>
        <v>0</v>
      </c>
      <c r="BY116" s="14">
        <f t="shared" si="14"/>
        <v>48.9</v>
      </c>
      <c r="BZ116" s="14">
        <f t="shared" si="15"/>
        <v>0</v>
      </c>
      <c r="CA116" s="14">
        <f t="shared" si="16"/>
        <v>0</v>
      </c>
      <c r="CB116" s="14">
        <f t="shared" si="17"/>
        <v>48.9</v>
      </c>
      <c r="CC116" s="15">
        <f t="shared" si="18"/>
        <v>0.70699999999999996</v>
      </c>
      <c r="CD116" s="14">
        <f t="shared" si="19"/>
        <v>34.57</v>
      </c>
      <c r="CE116" s="14">
        <f t="shared" si="20"/>
        <v>0.96</v>
      </c>
      <c r="CF116" s="14">
        <f t="shared" si="21"/>
        <v>33.19</v>
      </c>
      <c r="CG116" s="14">
        <f t="shared" si="22"/>
        <v>73</v>
      </c>
    </row>
    <row r="117" spans="1:85" ht="13.2" x14ac:dyDescent="0.25">
      <c r="A117" s="8">
        <v>1348568</v>
      </c>
      <c r="B117" s="15" t="s">
        <v>217</v>
      </c>
      <c r="C117" s="9" t="s">
        <v>179</v>
      </c>
      <c r="D117" s="9">
        <v>0</v>
      </c>
      <c r="E117" s="9">
        <v>1</v>
      </c>
      <c r="F117" s="9">
        <v>1</v>
      </c>
      <c r="G117" s="9">
        <v>0</v>
      </c>
      <c r="H117" s="9">
        <v>15</v>
      </c>
      <c r="I117" s="9">
        <v>16</v>
      </c>
      <c r="J117" s="11">
        <f t="shared" si="44"/>
        <v>0</v>
      </c>
      <c r="K117" s="10">
        <v>31</v>
      </c>
      <c r="L117" s="11">
        <v>3.8</v>
      </c>
      <c r="M117" s="11">
        <v>0.1</v>
      </c>
      <c r="N117" s="11" t="s">
        <v>180</v>
      </c>
      <c r="O117" s="11">
        <v>6</v>
      </c>
      <c r="P117" s="9" t="s">
        <v>88</v>
      </c>
      <c r="Q117" s="9">
        <v>0</v>
      </c>
      <c r="R117" s="9">
        <v>33</v>
      </c>
      <c r="S117" s="10">
        <v>0</v>
      </c>
      <c r="T117" s="10">
        <v>44.33</v>
      </c>
      <c r="U117" s="10">
        <f t="shared" si="1"/>
        <v>0.8</v>
      </c>
      <c r="V117" s="9">
        <v>26.67</v>
      </c>
      <c r="W117" s="10">
        <f t="shared" si="43"/>
        <v>0.1</v>
      </c>
      <c r="X117" s="10">
        <v>20</v>
      </c>
      <c r="Y117" s="10">
        <v>15</v>
      </c>
      <c r="Z117" s="10">
        <v>0</v>
      </c>
      <c r="AA117" s="10">
        <v>0</v>
      </c>
      <c r="AB117" s="9">
        <v>0.5</v>
      </c>
      <c r="AC117" s="9">
        <f t="shared" si="3"/>
        <v>2</v>
      </c>
      <c r="AD117" s="9">
        <v>0.5</v>
      </c>
      <c r="AE117" s="9">
        <v>0.1</v>
      </c>
      <c r="AF117" s="9">
        <v>2.5000000000000001E-3</v>
      </c>
      <c r="AG117" s="9">
        <v>27</v>
      </c>
      <c r="AH117" s="9">
        <v>0.13500000000000001</v>
      </c>
      <c r="AI117" s="13">
        <v>6</v>
      </c>
      <c r="AJ117" s="9">
        <f t="shared" si="4"/>
        <v>0</v>
      </c>
      <c r="AK117" s="9">
        <v>9</v>
      </c>
      <c r="AL117" s="9">
        <v>40</v>
      </c>
      <c r="AM117" s="9">
        <v>9.98</v>
      </c>
      <c r="AN117" s="15">
        <v>0.9</v>
      </c>
      <c r="AO117" s="9">
        <f t="shared" si="41"/>
        <v>0.9</v>
      </c>
      <c r="AP117" s="9">
        <v>8.5</v>
      </c>
      <c r="AQ117" s="9">
        <f t="shared" si="35"/>
        <v>0.3</v>
      </c>
      <c r="AR117" s="9">
        <v>4</v>
      </c>
      <c r="AS117" s="9">
        <v>0.5</v>
      </c>
      <c r="AT117" s="9">
        <v>0.33</v>
      </c>
      <c r="AU117" s="9">
        <v>29</v>
      </c>
      <c r="AV117" s="15">
        <v>0.4</v>
      </c>
      <c r="AW117" s="12">
        <v>5</v>
      </c>
      <c r="AX117" s="9">
        <v>0.1</v>
      </c>
      <c r="AY117" s="9">
        <v>0</v>
      </c>
      <c r="AZ117" s="9">
        <v>0</v>
      </c>
      <c r="BA117" s="9">
        <v>0</v>
      </c>
      <c r="BB117" s="9">
        <v>0</v>
      </c>
      <c r="BC117" s="9">
        <v>95</v>
      </c>
      <c r="BD117" s="9">
        <v>30</v>
      </c>
      <c r="BE117" s="9">
        <v>7.5</v>
      </c>
      <c r="BF117" s="9">
        <f t="shared" si="8"/>
        <v>0.4</v>
      </c>
      <c r="BG117" s="9">
        <f t="shared" si="32"/>
        <v>2</v>
      </c>
      <c r="BH117" s="9">
        <v>7</v>
      </c>
      <c r="BI117" s="9">
        <f t="shared" si="10"/>
        <v>0.3</v>
      </c>
      <c r="BJ117" s="9">
        <v>2</v>
      </c>
      <c r="BK117" s="9">
        <v>0</v>
      </c>
      <c r="BL117" s="15">
        <v>9</v>
      </c>
      <c r="BM117" s="14">
        <v>1</v>
      </c>
      <c r="BN117" s="8">
        <v>1</v>
      </c>
      <c r="BO117" s="14">
        <v>0</v>
      </c>
      <c r="BP117" s="14">
        <v>0</v>
      </c>
      <c r="BQ117" s="14">
        <f t="shared" si="42"/>
        <v>0.4</v>
      </c>
      <c r="BR117" s="15">
        <v>0</v>
      </c>
      <c r="BS117" s="15">
        <f t="shared" si="29"/>
        <v>1.7769999999999999</v>
      </c>
      <c r="BT117" s="14">
        <v>0</v>
      </c>
      <c r="BU117" s="14">
        <v>0</v>
      </c>
      <c r="BV117" s="15">
        <v>280.5</v>
      </c>
      <c r="BW117" s="15">
        <v>0.309</v>
      </c>
      <c r="BX117" s="15">
        <f t="shared" si="13"/>
        <v>0</v>
      </c>
      <c r="BY117" s="14">
        <f t="shared" si="14"/>
        <v>47.900000000000006</v>
      </c>
      <c r="BZ117" s="14">
        <f t="shared" si="15"/>
        <v>5.8330000000000002</v>
      </c>
      <c r="CA117" s="14">
        <f t="shared" si="16"/>
        <v>0</v>
      </c>
      <c r="CB117" s="14">
        <f t="shared" si="17"/>
        <v>53.733000000000004</v>
      </c>
      <c r="CC117" s="15">
        <f t="shared" si="18"/>
        <v>0.878</v>
      </c>
      <c r="CD117" s="14">
        <f t="shared" si="19"/>
        <v>47.18</v>
      </c>
      <c r="CE117" s="14">
        <f t="shared" si="20"/>
        <v>0.89500000000000002</v>
      </c>
      <c r="CF117" s="14">
        <f t="shared" si="21"/>
        <v>42.23</v>
      </c>
      <c r="CG117" s="14">
        <f t="shared" si="22"/>
        <v>44</v>
      </c>
    </row>
    <row r="118" spans="1:85" ht="13.2" x14ac:dyDescent="0.25">
      <c r="A118" s="8">
        <v>493773</v>
      </c>
      <c r="B118" s="9" t="s">
        <v>218</v>
      </c>
      <c r="C118" s="9" t="s">
        <v>179</v>
      </c>
      <c r="D118" s="9">
        <v>0</v>
      </c>
      <c r="E118" s="9">
        <v>1</v>
      </c>
      <c r="F118" s="9">
        <v>0</v>
      </c>
      <c r="G118" s="9">
        <v>0</v>
      </c>
      <c r="H118" s="9">
        <v>18</v>
      </c>
      <c r="I118" s="9">
        <v>26</v>
      </c>
      <c r="J118" s="11">
        <f t="shared" si="44"/>
        <v>0</v>
      </c>
      <c r="K118" s="10">
        <v>0</v>
      </c>
      <c r="L118" s="11">
        <v>0</v>
      </c>
      <c r="M118" s="11">
        <v>0.1</v>
      </c>
      <c r="N118" s="11" t="s">
        <v>180</v>
      </c>
      <c r="O118" s="11">
        <v>6</v>
      </c>
      <c r="P118" s="9" t="s">
        <v>88</v>
      </c>
      <c r="Q118" s="9">
        <v>0</v>
      </c>
      <c r="R118" s="9">
        <v>32</v>
      </c>
      <c r="S118" s="10">
        <v>0</v>
      </c>
      <c r="T118" s="10">
        <v>0</v>
      </c>
      <c r="U118" s="10">
        <f t="shared" si="1"/>
        <v>0</v>
      </c>
      <c r="V118" s="9">
        <v>14.28</v>
      </c>
      <c r="W118" s="10">
        <f t="shared" si="43"/>
        <v>0</v>
      </c>
      <c r="X118" s="10">
        <v>0</v>
      </c>
      <c r="Y118" s="10">
        <v>0</v>
      </c>
      <c r="Z118" s="10">
        <v>0</v>
      </c>
      <c r="AA118" s="10">
        <v>0</v>
      </c>
      <c r="AB118" s="9">
        <v>6.5</v>
      </c>
      <c r="AC118" s="9">
        <f t="shared" si="3"/>
        <v>3</v>
      </c>
      <c r="AD118" s="9">
        <v>0.5</v>
      </c>
      <c r="AE118" s="9">
        <v>0.1</v>
      </c>
      <c r="AF118" s="9">
        <v>2.5000000000000001E-3</v>
      </c>
      <c r="AG118" s="9">
        <v>24.2</v>
      </c>
      <c r="AH118" s="9">
        <v>0.121</v>
      </c>
      <c r="AI118" s="13">
        <v>6</v>
      </c>
      <c r="AJ118" s="9">
        <f t="shared" si="4"/>
        <v>0</v>
      </c>
      <c r="AK118" s="9">
        <v>29</v>
      </c>
      <c r="AL118" s="9">
        <v>69</v>
      </c>
      <c r="AM118" s="9">
        <v>8.0399999999999991</v>
      </c>
      <c r="AN118" s="15">
        <v>0.6</v>
      </c>
      <c r="AO118" s="9">
        <f t="shared" si="41"/>
        <v>0.9</v>
      </c>
      <c r="AP118" s="9">
        <v>8.5</v>
      </c>
      <c r="AQ118" s="9">
        <f t="shared" si="35"/>
        <v>0.2</v>
      </c>
      <c r="AR118" s="9">
        <v>3</v>
      </c>
      <c r="AS118" s="9">
        <v>0.7</v>
      </c>
      <c r="AT118" s="9">
        <v>0.47</v>
      </c>
      <c r="AU118" s="9">
        <v>45</v>
      </c>
      <c r="AV118" s="15">
        <v>0.9</v>
      </c>
      <c r="AW118" s="12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69</v>
      </c>
      <c r="BD118" s="9">
        <v>19.14</v>
      </c>
      <c r="BE118" s="9">
        <v>7</v>
      </c>
      <c r="BF118" s="9">
        <f t="shared" si="8"/>
        <v>0.3</v>
      </c>
      <c r="BG118" s="9">
        <f t="shared" si="32"/>
        <v>2</v>
      </c>
      <c r="BH118" s="9">
        <v>7</v>
      </c>
      <c r="BI118" s="9">
        <f t="shared" si="10"/>
        <v>0.3</v>
      </c>
      <c r="BJ118" s="9">
        <v>2</v>
      </c>
      <c r="BK118" s="9">
        <v>0</v>
      </c>
      <c r="BL118" s="15">
        <v>7</v>
      </c>
      <c r="BM118" s="14">
        <v>0.33</v>
      </c>
      <c r="BN118" s="8">
        <v>0</v>
      </c>
      <c r="BO118" s="14">
        <v>0</v>
      </c>
      <c r="BP118" s="14">
        <v>0</v>
      </c>
      <c r="BQ118" s="14">
        <f t="shared" si="42"/>
        <v>0.4</v>
      </c>
      <c r="BR118" s="15">
        <v>0</v>
      </c>
      <c r="BS118" s="15">
        <f t="shared" si="29"/>
        <v>5.8999999999999997E-2</v>
      </c>
      <c r="BT118" s="14">
        <v>0</v>
      </c>
      <c r="BU118" s="14">
        <v>0</v>
      </c>
      <c r="BV118" s="15">
        <v>522.5</v>
      </c>
      <c r="BW118" s="15">
        <v>0.57099999999999995</v>
      </c>
      <c r="BX118" s="15">
        <f t="shared" si="13"/>
        <v>0</v>
      </c>
      <c r="BY118" s="14">
        <f t="shared" si="14"/>
        <v>56.599999999999994</v>
      </c>
      <c r="BZ118" s="14">
        <f t="shared" si="15"/>
        <v>0</v>
      </c>
      <c r="CA118" s="14">
        <f t="shared" si="16"/>
        <v>0</v>
      </c>
      <c r="CB118" s="14">
        <f t="shared" si="17"/>
        <v>56.599999999999994</v>
      </c>
      <c r="CC118" s="15">
        <f t="shared" si="18"/>
        <v>0.70599999999999996</v>
      </c>
      <c r="CD118" s="14">
        <f t="shared" si="19"/>
        <v>39.96</v>
      </c>
      <c r="CE118" s="14">
        <f t="shared" si="20"/>
        <v>0.96</v>
      </c>
      <c r="CF118" s="14">
        <f t="shared" si="21"/>
        <v>38.36</v>
      </c>
      <c r="CG118" s="14">
        <f t="shared" si="22"/>
        <v>48</v>
      </c>
    </row>
    <row r="119" spans="1:85" ht="13.2" x14ac:dyDescent="0.25">
      <c r="A119" s="8">
        <v>351588</v>
      </c>
      <c r="B119" s="9" t="s">
        <v>219</v>
      </c>
      <c r="C119" s="9" t="s">
        <v>179</v>
      </c>
      <c r="D119" s="9">
        <v>0</v>
      </c>
      <c r="E119" s="9">
        <v>1</v>
      </c>
      <c r="F119" s="9">
        <v>0</v>
      </c>
      <c r="G119" s="9">
        <v>0</v>
      </c>
      <c r="H119" s="9">
        <v>6</v>
      </c>
      <c r="I119" s="9">
        <v>18</v>
      </c>
      <c r="J119" s="11">
        <f t="shared" si="44"/>
        <v>0</v>
      </c>
      <c r="K119" s="10">
        <v>0</v>
      </c>
      <c r="L119" s="11">
        <v>0</v>
      </c>
      <c r="M119" s="11">
        <v>0.3</v>
      </c>
      <c r="N119" s="11" t="s">
        <v>180</v>
      </c>
      <c r="O119" s="11">
        <v>6</v>
      </c>
      <c r="P119" s="9" t="s">
        <v>88</v>
      </c>
      <c r="Q119" s="9">
        <v>0</v>
      </c>
      <c r="R119" s="9">
        <v>26</v>
      </c>
      <c r="S119" s="10">
        <v>0</v>
      </c>
      <c r="T119" s="10">
        <v>0</v>
      </c>
      <c r="U119" s="10">
        <f t="shared" si="1"/>
        <v>0</v>
      </c>
      <c r="V119" s="9">
        <v>11.33</v>
      </c>
      <c r="W119" s="10">
        <f t="shared" si="43"/>
        <v>0</v>
      </c>
      <c r="X119" s="10">
        <v>0</v>
      </c>
      <c r="Y119" s="10">
        <v>0</v>
      </c>
      <c r="Z119" s="10">
        <v>0</v>
      </c>
      <c r="AA119" s="10">
        <v>0</v>
      </c>
      <c r="AB119" s="9">
        <v>4.8</v>
      </c>
      <c r="AC119" s="9">
        <f t="shared" si="3"/>
        <v>3</v>
      </c>
      <c r="AD119" s="9">
        <v>0.5</v>
      </c>
      <c r="AE119" s="9">
        <v>0.15</v>
      </c>
      <c r="AF119" s="9">
        <v>3.7499999999999999E-3</v>
      </c>
      <c r="AG119" s="9">
        <v>40</v>
      </c>
      <c r="AH119" s="9">
        <v>0.2</v>
      </c>
      <c r="AI119" s="13">
        <v>7</v>
      </c>
      <c r="AJ119" s="9">
        <f t="shared" si="4"/>
        <v>0</v>
      </c>
      <c r="AK119" s="9">
        <v>9</v>
      </c>
      <c r="AL119" s="9">
        <v>17</v>
      </c>
      <c r="AM119" s="9">
        <v>9.24</v>
      </c>
      <c r="AN119" s="15">
        <v>0.9</v>
      </c>
      <c r="AO119" s="9">
        <f t="shared" si="41"/>
        <v>1</v>
      </c>
      <c r="AP119" s="9">
        <v>9</v>
      </c>
      <c r="AQ119" s="9">
        <f t="shared" si="35"/>
        <v>0.5</v>
      </c>
      <c r="AR119" s="9">
        <v>5</v>
      </c>
      <c r="AS119" s="9">
        <v>0.5</v>
      </c>
      <c r="AT119" s="9">
        <v>0.33</v>
      </c>
      <c r="AU119" s="9">
        <v>44</v>
      </c>
      <c r="AV119" s="15">
        <v>0.8</v>
      </c>
      <c r="AW119" s="12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17</v>
      </c>
      <c r="BD119" s="9">
        <v>17.440000000000001</v>
      </c>
      <c r="BE119" s="9">
        <v>7.5</v>
      </c>
      <c r="BF119" s="9">
        <f t="shared" si="8"/>
        <v>0.4</v>
      </c>
      <c r="BG119" s="9">
        <f t="shared" si="32"/>
        <v>2</v>
      </c>
      <c r="BH119" s="9">
        <v>6</v>
      </c>
      <c r="BI119" s="9">
        <f t="shared" si="10"/>
        <v>0</v>
      </c>
      <c r="BJ119" s="9">
        <v>2</v>
      </c>
      <c r="BK119" s="9">
        <v>0</v>
      </c>
      <c r="BL119" s="15">
        <v>7</v>
      </c>
      <c r="BM119" s="14">
        <v>0.33</v>
      </c>
      <c r="BN119" s="8">
        <v>0</v>
      </c>
      <c r="BO119" s="14">
        <v>0</v>
      </c>
      <c r="BP119" s="14">
        <v>0</v>
      </c>
      <c r="BQ119" s="14">
        <f t="shared" si="42"/>
        <v>0.5</v>
      </c>
      <c r="BR119" s="15">
        <v>0</v>
      </c>
      <c r="BS119" s="15">
        <f t="shared" si="29"/>
        <v>0.13700000000000001</v>
      </c>
      <c r="BT119" s="14">
        <v>0</v>
      </c>
      <c r="BU119" s="14">
        <v>0</v>
      </c>
      <c r="BV119" s="15">
        <v>107.5</v>
      </c>
      <c r="BW119" s="15">
        <v>0.121</v>
      </c>
      <c r="BX119" s="15">
        <f t="shared" si="13"/>
        <v>0</v>
      </c>
      <c r="BY119" s="14">
        <f t="shared" si="14"/>
        <v>58.400000000000006</v>
      </c>
      <c r="BZ119" s="14">
        <f t="shared" si="15"/>
        <v>0</v>
      </c>
      <c r="CA119" s="14">
        <f t="shared" si="16"/>
        <v>0</v>
      </c>
      <c r="CB119" s="14">
        <f t="shared" si="17"/>
        <v>58.400000000000006</v>
      </c>
      <c r="CC119" s="15">
        <f t="shared" si="18"/>
        <v>0.71399999999999997</v>
      </c>
      <c r="CD119" s="14">
        <f t="shared" si="19"/>
        <v>41.7</v>
      </c>
      <c r="CE119" s="14">
        <f t="shared" si="20"/>
        <v>0.9</v>
      </c>
      <c r="CF119" s="14">
        <f t="shared" si="21"/>
        <v>37.53</v>
      </c>
      <c r="CG119" s="14">
        <f t="shared" si="22"/>
        <v>51</v>
      </c>
    </row>
    <row r="120" spans="1:85" ht="13.2" x14ac:dyDescent="0.25">
      <c r="A120" s="8">
        <v>1081446</v>
      </c>
      <c r="B120" s="9" t="s">
        <v>220</v>
      </c>
      <c r="C120" s="9" t="s">
        <v>179</v>
      </c>
      <c r="D120" s="9">
        <v>0</v>
      </c>
      <c r="E120" s="9">
        <v>1</v>
      </c>
      <c r="F120" s="9">
        <v>0</v>
      </c>
      <c r="G120" s="9">
        <v>0</v>
      </c>
      <c r="H120" s="9">
        <v>23</v>
      </c>
      <c r="I120" s="9">
        <v>22</v>
      </c>
      <c r="J120" s="11">
        <f t="shared" si="44"/>
        <v>0</v>
      </c>
      <c r="K120" s="10">
        <v>0</v>
      </c>
      <c r="L120" s="11">
        <v>0</v>
      </c>
      <c r="M120" s="11">
        <v>0.2</v>
      </c>
      <c r="N120" s="11" t="s">
        <v>180</v>
      </c>
      <c r="O120" s="11">
        <v>6</v>
      </c>
      <c r="P120" s="9" t="s">
        <v>88</v>
      </c>
      <c r="Q120" s="9">
        <v>0</v>
      </c>
      <c r="R120" s="9">
        <v>26</v>
      </c>
      <c r="S120" s="10">
        <v>0</v>
      </c>
      <c r="T120" s="10">
        <v>0</v>
      </c>
      <c r="U120" s="10">
        <f t="shared" si="1"/>
        <v>0</v>
      </c>
      <c r="V120" s="9">
        <v>26.89</v>
      </c>
      <c r="W120" s="10">
        <f t="shared" si="43"/>
        <v>0.1</v>
      </c>
      <c r="X120" s="10">
        <v>0</v>
      </c>
      <c r="Y120" s="10">
        <v>0</v>
      </c>
      <c r="Z120" s="10">
        <v>0</v>
      </c>
      <c r="AA120" s="10">
        <v>0</v>
      </c>
      <c r="AB120" s="9">
        <v>6.25</v>
      </c>
      <c r="AC120" s="9">
        <f t="shared" si="3"/>
        <v>3</v>
      </c>
      <c r="AD120" s="9">
        <v>0.5</v>
      </c>
      <c r="AE120" s="9">
        <v>0.05</v>
      </c>
      <c r="AF120" s="9">
        <v>1.25E-3</v>
      </c>
      <c r="AG120" s="9">
        <v>3.75</v>
      </c>
      <c r="AH120" s="9">
        <v>1.9E-2</v>
      </c>
      <c r="AI120" s="13">
        <v>6</v>
      </c>
      <c r="AJ120" s="9">
        <f t="shared" si="4"/>
        <v>0</v>
      </c>
      <c r="AK120" s="9">
        <v>18</v>
      </c>
      <c r="AL120" s="9">
        <v>80.400000000000006</v>
      </c>
      <c r="AM120" s="9">
        <v>8.23</v>
      </c>
      <c r="AN120" s="15">
        <v>0.5</v>
      </c>
      <c r="AO120" s="9">
        <f t="shared" si="41"/>
        <v>0.9</v>
      </c>
      <c r="AP120" s="9">
        <v>8.5</v>
      </c>
      <c r="AQ120" s="9">
        <f t="shared" si="35"/>
        <v>0.5</v>
      </c>
      <c r="AR120" s="9">
        <v>5</v>
      </c>
      <c r="AS120" s="9">
        <v>0.6</v>
      </c>
      <c r="AT120" s="9">
        <v>0.4</v>
      </c>
      <c r="AU120" s="9">
        <v>33</v>
      </c>
      <c r="AV120" s="15">
        <v>0.5</v>
      </c>
      <c r="AW120" s="12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80.400000000000006</v>
      </c>
      <c r="BD120" s="9">
        <v>36.89</v>
      </c>
      <c r="BE120" s="9">
        <v>7</v>
      </c>
      <c r="BF120" s="9">
        <f t="shared" si="8"/>
        <v>0.3</v>
      </c>
      <c r="BG120" s="9">
        <f t="shared" si="32"/>
        <v>2</v>
      </c>
      <c r="BH120" s="9">
        <v>6</v>
      </c>
      <c r="BI120" s="9">
        <f t="shared" si="10"/>
        <v>0</v>
      </c>
      <c r="BJ120" s="9">
        <v>2</v>
      </c>
      <c r="BK120" s="9">
        <v>0</v>
      </c>
      <c r="BL120" s="15">
        <v>8</v>
      </c>
      <c r="BM120" s="14">
        <v>0.67</v>
      </c>
      <c r="BN120" s="8">
        <v>0</v>
      </c>
      <c r="BO120" s="14">
        <v>0</v>
      </c>
      <c r="BP120" s="14">
        <v>0</v>
      </c>
      <c r="BQ120" s="14">
        <f t="shared" si="42"/>
        <v>0.3</v>
      </c>
      <c r="BR120" s="15">
        <v>0</v>
      </c>
      <c r="BS120" s="15">
        <f t="shared" si="29"/>
        <v>9.4E-2</v>
      </c>
      <c r="BT120" s="14">
        <v>0</v>
      </c>
      <c r="BU120" s="14">
        <v>0</v>
      </c>
      <c r="BV120" s="15">
        <v>609.20000000000005</v>
      </c>
      <c r="BW120" s="15">
        <v>0.66500000000000004</v>
      </c>
      <c r="BX120" s="15">
        <f t="shared" si="13"/>
        <v>0</v>
      </c>
      <c r="BY120" s="14">
        <f t="shared" si="14"/>
        <v>44</v>
      </c>
      <c r="BZ120" s="14">
        <f t="shared" si="15"/>
        <v>0</v>
      </c>
      <c r="CA120" s="14">
        <f t="shared" si="16"/>
        <v>0</v>
      </c>
      <c r="CB120" s="14">
        <f t="shared" si="17"/>
        <v>44</v>
      </c>
      <c r="CC120" s="15">
        <f t="shared" si="18"/>
        <v>0.70899999999999996</v>
      </c>
      <c r="CD120" s="14">
        <f t="shared" si="19"/>
        <v>31.2</v>
      </c>
      <c r="CE120" s="14">
        <f t="shared" si="20"/>
        <v>0.9</v>
      </c>
      <c r="CF120" s="14">
        <f t="shared" si="21"/>
        <v>28.08</v>
      </c>
      <c r="CG120" s="14">
        <f t="shared" si="22"/>
        <v>112</v>
      </c>
    </row>
    <row r="121" spans="1:85" ht="13.2" x14ac:dyDescent="0.25">
      <c r="A121" s="8">
        <v>489889</v>
      </c>
      <c r="B121" s="9" t="s">
        <v>221</v>
      </c>
      <c r="C121" s="9" t="s">
        <v>179</v>
      </c>
      <c r="D121" s="9">
        <v>0</v>
      </c>
      <c r="E121" s="9">
        <v>1</v>
      </c>
      <c r="F121" s="9">
        <v>0</v>
      </c>
      <c r="G121" s="9">
        <v>0</v>
      </c>
      <c r="H121" s="9">
        <v>15</v>
      </c>
      <c r="I121" s="9">
        <v>22</v>
      </c>
      <c r="J121" s="11">
        <f t="shared" si="44"/>
        <v>0</v>
      </c>
      <c r="K121" s="10">
        <v>0</v>
      </c>
      <c r="L121" s="11">
        <v>0</v>
      </c>
      <c r="M121" s="11">
        <v>0.2</v>
      </c>
      <c r="N121" s="11" t="s">
        <v>180</v>
      </c>
      <c r="O121" s="11">
        <v>6</v>
      </c>
      <c r="P121" s="9" t="s">
        <v>88</v>
      </c>
      <c r="Q121" s="9">
        <v>0</v>
      </c>
      <c r="R121" s="9">
        <v>25</v>
      </c>
      <c r="S121" s="10">
        <v>0</v>
      </c>
      <c r="T121" s="10">
        <v>0</v>
      </c>
      <c r="U121" s="10">
        <f t="shared" si="1"/>
        <v>0</v>
      </c>
      <c r="V121" s="9">
        <v>17.25</v>
      </c>
      <c r="W121" s="10">
        <f t="shared" si="43"/>
        <v>0</v>
      </c>
      <c r="X121" s="10">
        <v>0</v>
      </c>
      <c r="Y121" s="10">
        <v>0</v>
      </c>
      <c r="Z121" s="10">
        <v>0</v>
      </c>
      <c r="AA121" s="10">
        <v>0</v>
      </c>
      <c r="AB121" s="9">
        <v>4.2</v>
      </c>
      <c r="AC121" s="9">
        <f t="shared" si="3"/>
        <v>3</v>
      </c>
      <c r="AD121" s="9">
        <v>0.5</v>
      </c>
      <c r="AE121" s="9">
        <v>0.05</v>
      </c>
      <c r="AF121" s="9">
        <v>1.25E-3</v>
      </c>
      <c r="AG121" s="9">
        <v>50</v>
      </c>
      <c r="AH121" s="9">
        <v>0.25</v>
      </c>
      <c r="AI121" s="13">
        <v>8</v>
      </c>
      <c r="AJ121" s="9">
        <f t="shared" si="4"/>
        <v>0</v>
      </c>
      <c r="AK121" s="9">
        <v>16</v>
      </c>
      <c r="AL121" s="9">
        <v>46</v>
      </c>
      <c r="AM121" s="9">
        <v>9.17</v>
      </c>
      <c r="AN121" s="15">
        <v>0.6</v>
      </c>
      <c r="AO121" s="9">
        <f t="shared" si="41"/>
        <v>0.9</v>
      </c>
      <c r="AP121" s="9">
        <v>8.5</v>
      </c>
      <c r="AQ121" s="9">
        <f t="shared" si="35"/>
        <v>0.7</v>
      </c>
      <c r="AR121" s="9">
        <v>6</v>
      </c>
      <c r="AS121" s="9">
        <v>0.6</v>
      </c>
      <c r="AT121" s="9">
        <v>0.4</v>
      </c>
      <c r="AU121" s="9">
        <v>37</v>
      </c>
      <c r="AV121" s="15">
        <v>0.6</v>
      </c>
      <c r="AW121" s="12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46</v>
      </c>
      <c r="BD121" s="9">
        <v>26.38</v>
      </c>
      <c r="BE121" s="9">
        <v>7.5</v>
      </c>
      <c r="BF121" s="9">
        <f t="shared" si="8"/>
        <v>0.4</v>
      </c>
      <c r="BG121" s="9">
        <f t="shared" si="32"/>
        <v>2</v>
      </c>
      <c r="BH121" s="9">
        <v>7</v>
      </c>
      <c r="BI121" s="9">
        <f t="shared" si="10"/>
        <v>0.3</v>
      </c>
      <c r="BJ121" s="9">
        <v>2</v>
      </c>
      <c r="BK121" s="9">
        <v>0.14000000000000001</v>
      </c>
      <c r="BL121" s="15">
        <v>7</v>
      </c>
      <c r="BM121" s="14">
        <v>0.33</v>
      </c>
      <c r="BN121" s="8">
        <v>0</v>
      </c>
      <c r="BO121" s="14">
        <v>0</v>
      </c>
      <c r="BP121" s="14">
        <v>0</v>
      </c>
      <c r="BQ121" s="14">
        <f t="shared" si="42"/>
        <v>0.4</v>
      </c>
      <c r="BR121" s="15">
        <v>0</v>
      </c>
      <c r="BS121" s="15">
        <f t="shared" si="29"/>
        <v>0.10199999999999999</v>
      </c>
      <c r="BT121" s="14">
        <v>0</v>
      </c>
      <c r="BU121" s="14">
        <v>0</v>
      </c>
      <c r="BV121" s="15">
        <v>339</v>
      </c>
      <c r="BW121" s="15">
        <v>0.373</v>
      </c>
      <c r="BX121" s="15">
        <f t="shared" si="13"/>
        <v>0</v>
      </c>
      <c r="BY121" s="14">
        <f t="shared" si="14"/>
        <v>50</v>
      </c>
      <c r="BZ121" s="14">
        <f t="shared" si="15"/>
        <v>0</v>
      </c>
      <c r="CA121" s="14">
        <f t="shared" si="16"/>
        <v>0</v>
      </c>
      <c r="CB121" s="14">
        <f t="shared" si="17"/>
        <v>50</v>
      </c>
      <c r="CC121" s="15">
        <f t="shared" si="18"/>
        <v>0.71</v>
      </c>
      <c r="CD121" s="14">
        <f t="shared" si="19"/>
        <v>35.5</v>
      </c>
      <c r="CE121" s="14">
        <f t="shared" si="20"/>
        <v>0.86</v>
      </c>
      <c r="CF121" s="14">
        <f t="shared" si="21"/>
        <v>30.53</v>
      </c>
      <c r="CG121" s="14">
        <f t="shared" si="22"/>
        <v>92</v>
      </c>
    </row>
    <row r="122" spans="1:85" ht="13.2" x14ac:dyDescent="0.25">
      <c r="A122" s="8">
        <v>926851</v>
      </c>
      <c r="B122" s="9" t="s">
        <v>222</v>
      </c>
      <c r="C122" s="9" t="s">
        <v>179</v>
      </c>
      <c r="D122" s="9">
        <v>0</v>
      </c>
      <c r="E122" s="9">
        <v>1</v>
      </c>
      <c r="F122" s="9">
        <v>0</v>
      </c>
      <c r="G122" s="9">
        <v>0</v>
      </c>
      <c r="H122" s="9">
        <v>6</v>
      </c>
      <c r="I122" s="9">
        <v>20</v>
      </c>
      <c r="J122" s="11">
        <f t="shared" si="44"/>
        <v>0</v>
      </c>
      <c r="K122" s="10">
        <v>0</v>
      </c>
      <c r="L122" s="11">
        <v>0</v>
      </c>
      <c r="M122" s="11">
        <v>0.1</v>
      </c>
      <c r="N122" s="11" t="s">
        <v>180</v>
      </c>
      <c r="O122" s="11">
        <v>6</v>
      </c>
      <c r="P122" s="9" t="s">
        <v>103</v>
      </c>
      <c r="Q122" s="9">
        <v>1</v>
      </c>
      <c r="R122" s="9">
        <v>30</v>
      </c>
      <c r="S122" s="10">
        <v>0</v>
      </c>
      <c r="T122" s="10">
        <v>0</v>
      </c>
      <c r="U122" s="10">
        <f t="shared" si="1"/>
        <v>0</v>
      </c>
      <c r="V122" s="9">
        <v>16.5</v>
      </c>
      <c r="W122" s="10">
        <f t="shared" si="43"/>
        <v>0</v>
      </c>
      <c r="X122" s="10">
        <v>0</v>
      </c>
      <c r="Y122" s="10">
        <v>0</v>
      </c>
      <c r="Z122" s="10">
        <v>0</v>
      </c>
      <c r="AA122" s="10">
        <v>0</v>
      </c>
      <c r="AB122" s="9">
        <v>3.5</v>
      </c>
      <c r="AC122" s="9">
        <f t="shared" si="3"/>
        <v>3</v>
      </c>
      <c r="AD122" s="9">
        <v>0.5</v>
      </c>
      <c r="AE122" s="9">
        <v>0.05</v>
      </c>
      <c r="AF122" s="9">
        <v>1.25E-3</v>
      </c>
      <c r="AG122" s="9">
        <v>2.5</v>
      </c>
      <c r="AH122" s="9">
        <v>1.2999999999999999E-2</v>
      </c>
      <c r="AI122" s="13">
        <v>8</v>
      </c>
      <c r="AJ122" s="9">
        <f t="shared" si="4"/>
        <v>0</v>
      </c>
      <c r="AK122" s="9">
        <v>8</v>
      </c>
      <c r="AL122" s="9">
        <v>22</v>
      </c>
      <c r="AM122" s="9">
        <v>8.5500000000000007</v>
      </c>
      <c r="AN122" s="15">
        <v>0.4</v>
      </c>
      <c r="AO122" s="9">
        <f t="shared" si="41"/>
        <v>0.9</v>
      </c>
      <c r="AP122" s="9">
        <v>8.5</v>
      </c>
      <c r="AQ122" s="9">
        <f t="shared" si="35"/>
        <v>0.7</v>
      </c>
      <c r="AR122" s="9">
        <v>6</v>
      </c>
      <c r="AS122" s="9">
        <v>0.75</v>
      </c>
      <c r="AT122" s="9">
        <v>0.5</v>
      </c>
      <c r="AU122" s="9">
        <v>40</v>
      </c>
      <c r="AV122" s="15">
        <v>0.7</v>
      </c>
      <c r="AW122" s="12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22</v>
      </c>
      <c r="BD122" s="9">
        <v>23.5</v>
      </c>
      <c r="BE122" s="9">
        <v>7.5</v>
      </c>
      <c r="BF122" s="9">
        <f t="shared" si="8"/>
        <v>0.4</v>
      </c>
      <c r="BG122" s="9">
        <f t="shared" si="32"/>
        <v>2</v>
      </c>
      <c r="BH122" s="9">
        <v>7</v>
      </c>
      <c r="BI122" s="9">
        <f t="shared" si="10"/>
        <v>0.3</v>
      </c>
      <c r="BJ122" s="9">
        <v>2</v>
      </c>
      <c r="BK122" s="9">
        <v>0</v>
      </c>
      <c r="BL122" s="15">
        <v>8</v>
      </c>
      <c r="BM122" s="14">
        <v>0.67</v>
      </c>
      <c r="BN122" s="8">
        <v>0</v>
      </c>
      <c r="BO122" s="14">
        <v>0</v>
      </c>
      <c r="BP122" s="14">
        <v>0</v>
      </c>
      <c r="BQ122" s="14">
        <f t="shared" si="42"/>
        <v>0.3</v>
      </c>
      <c r="BR122" s="15">
        <v>0</v>
      </c>
      <c r="BS122" s="15">
        <f t="shared" si="29"/>
        <v>6.7000000000000004E-2</v>
      </c>
      <c r="BT122" s="14">
        <v>0</v>
      </c>
      <c r="BU122" s="14">
        <v>0</v>
      </c>
      <c r="BV122" s="15">
        <v>141.5</v>
      </c>
      <c r="BW122" s="15">
        <v>0.158</v>
      </c>
      <c r="BX122" s="15">
        <f t="shared" si="13"/>
        <v>0</v>
      </c>
      <c r="BY122" s="14">
        <f t="shared" si="14"/>
        <v>49.000000000000007</v>
      </c>
      <c r="BZ122" s="14">
        <f t="shared" si="15"/>
        <v>0</v>
      </c>
      <c r="CA122" s="14">
        <f t="shared" si="16"/>
        <v>0</v>
      </c>
      <c r="CB122" s="14">
        <f t="shared" si="17"/>
        <v>49.000000000000007</v>
      </c>
      <c r="CC122" s="15">
        <f t="shared" si="18"/>
        <v>0.70699999999999996</v>
      </c>
      <c r="CD122" s="14">
        <f t="shared" si="19"/>
        <v>34.64</v>
      </c>
      <c r="CE122" s="14">
        <f t="shared" si="20"/>
        <v>0.86</v>
      </c>
      <c r="CF122" s="14">
        <f t="shared" si="21"/>
        <v>29.79</v>
      </c>
      <c r="CG122" s="14">
        <f t="shared" si="22"/>
        <v>101</v>
      </c>
    </row>
    <row r="123" spans="1:85" ht="13.2" x14ac:dyDescent="0.25">
      <c r="A123" s="8">
        <v>550215</v>
      </c>
      <c r="B123" s="9" t="s">
        <v>223</v>
      </c>
      <c r="C123" s="9" t="s">
        <v>179</v>
      </c>
      <c r="D123" s="9">
        <v>0</v>
      </c>
      <c r="E123" s="9">
        <v>1</v>
      </c>
      <c r="F123" s="9">
        <v>1</v>
      </c>
      <c r="G123" s="9">
        <v>0</v>
      </c>
      <c r="H123" s="9">
        <v>14</v>
      </c>
      <c r="I123" s="9">
        <v>15</v>
      </c>
      <c r="J123" s="11">
        <f t="shared" si="44"/>
        <v>0</v>
      </c>
      <c r="K123" s="10">
        <v>33</v>
      </c>
      <c r="L123" s="11">
        <v>16</v>
      </c>
      <c r="M123" s="11">
        <v>0.2</v>
      </c>
      <c r="N123" s="11" t="s">
        <v>180</v>
      </c>
      <c r="O123" s="11">
        <v>6</v>
      </c>
      <c r="P123" s="9" t="s">
        <v>88</v>
      </c>
      <c r="Q123" s="9">
        <v>0</v>
      </c>
      <c r="R123" s="9">
        <v>34</v>
      </c>
      <c r="S123" s="10">
        <v>0</v>
      </c>
      <c r="T123" s="10">
        <v>51.38</v>
      </c>
      <c r="U123" s="10">
        <f t="shared" si="1"/>
        <v>0.9</v>
      </c>
      <c r="V123" s="9">
        <v>29.38</v>
      </c>
      <c r="W123" s="10">
        <f t="shared" si="43"/>
        <v>0.1</v>
      </c>
      <c r="X123" s="10">
        <v>25</v>
      </c>
      <c r="Y123" s="10">
        <v>20</v>
      </c>
      <c r="Z123" s="10">
        <v>0</v>
      </c>
      <c r="AA123" s="10">
        <v>0</v>
      </c>
      <c r="AB123" s="9">
        <v>8.5</v>
      </c>
      <c r="AC123" s="9">
        <f t="shared" si="3"/>
        <v>3</v>
      </c>
      <c r="AD123" s="9">
        <v>0.5</v>
      </c>
      <c r="AE123" s="9">
        <v>0.1</v>
      </c>
      <c r="AF123" s="9">
        <v>2.5000000000000001E-3</v>
      </c>
      <c r="AG123" s="9">
        <v>27.3</v>
      </c>
      <c r="AH123" s="9">
        <v>0.13700000000000001</v>
      </c>
      <c r="AI123" s="13">
        <v>8</v>
      </c>
      <c r="AJ123" s="9">
        <f t="shared" si="4"/>
        <v>0</v>
      </c>
      <c r="AK123" s="9">
        <v>8</v>
      </c>
      <c r="AL123" s="9">
        <v>39.1</v>
      </c>
      <c r="AM123" s="9">
        <v>10.49</v>
      </c>
      <c r="AN123" s="15">
        <v>0.4</v>
      </c>
      <c r="AO123" s="9">
        <f t="shared" si="41"/>
        <v>1</v>
      </c>
      <c r="AP123" s="9">
        <v>9</v>
      </c>
      <c r="AQ123" s="9">
        <f t="shared" si="35"/>
        <v>0.2</v>
      </c>
      <c r="AR123" s="9">
        <v>3</v>
      </c>
      <c r="AS123" s="9">
        <v>0.7</v>
      </c>
      <c r="AT123" s="9">
        <v>0.47</v>
      </c>
      <c r="AU123" s="9">
        <v>27</v>
      </c>
      <c r="AV123" s="15">
        <v>0.3</v>
      </c>
      <c r="AW123" s="12">
        <v>10</v>
      </c>
      <c r="AX123" s="9">
        <v>0.1</v>
      </c>
      <c r="AY123" s="9">
        <v>0</v>
      </c>
      <c r="AZ123" s="9">
        <v>0</v>
      </c>
      <c r="BA123" s="9">
        <v>0</v>
      </c>
      <c r="BB123" s="9">
        <v>0</v>
      </c>
      <c r="BC123" s="9">
        <v>39.1</v>
      </c>
      <c r="BD123" s="9">
        <v>51.38</v>
      </c>
      <c r="BE123" s="9">
        <v>7</v>
      </c>
      <c r="BF123" s="9">
        <f t="shared" si="8"/>
        <v>0.3</v>
      </c>
      <c r="BG123" s="9">
        <f t="shared" si="32"/>
        <v>2</v>
      </c>
      <c r="BH123" s="9">
        <v>7</v>
      </c>
      <c r="BI123" s="9">
        <f t="shared" si="10"/>
        <v>0.3</v>
      </c>
      <c r="BJ123" s="9">
        <v>2</v>
      </c>
      <c r="BK123" s="9">
        <v>0</v>
      </c>
      <c r="BL123" s="15">
        <v>7</v>
      </c>
      <c r="BM123" s="14">
        <v>0.33</v>
      </c>
      <c r="BN123" s="8">
        <v>3.2</v>
      </c>
      <c r="BO123" s="14">
        <v>0</v>
      </c>
      <c r="BP123" s="14">
        <v>0</v>
      </c>
      <c r="BQ123" s="14">
        <f t="shared" si="42"/>
        <v>0.3</v>
      </c>
      <c r="BR123" s="15">
        <v>0</v>
      </c>
      <c r="BS123" s="15">
        <f t="shared" si="29"/>
        <v>7.2940000000000005</v>
      </c>
      <c r="BT123" s="14">
        <v>0</v>
      </c>
      <c r="BU123" s="14">
        <v>0</v>
      </c>
      <c r="BV123" s="15">
        <v>283.3</v>
      </c>
      <c r="BW123" s="15">
        <v>0.312</v>
      </c>
      <c r="BX123" s="15">
        <f t="shared" si="13"/>
        <v>0</v>
      </c>
      <c r="BY123" s="14">
        <f t="shared" si="14"/>
        <v>43.099999999999994</v>
      </c>
      <c r="BZ123" s="14">
        <f t="shared" si="15"/>
        <v>12.917</v>
      </c>
      <c r="CA123" s="14">
        <f t="shared" si="16"/>
        <v>0</v>
      </c>
      <c r="CB123" s="14">
        <f t="shared" si="17"/>
        <v>56.016999999999996</v>
      </c>
      <c r="CC123" s="15">
        <f t="shared" si="18"/>
        <v>1.429</v>
      </c>
      <c r="CD123" s="14">
        <f t="shared" si="19"/>
        <v>80.05</v>
      </c>
      <c r="CE123" s="14">
        <f t="shared" si="20"/>
        <v>0.93</v>
      </c>
      <c r="CF123" s="14">
        <f t="shared" si="21"/>
        <v>74.45</v>
      </c>
      <c r="CG123" s="14">
        <f t="shared" si="22"/>
        <v>14</v>
      </c>
    </row>
    <row r="124" spans="1:85" ht="13.2" x14ac:dyDescent="0.25">
      <c r="A124" s="8">
        <v>1159641</v>
      </c>
      <c r="B124" s="9" t="s">
        <v>224</v>
      </c>
      <c r="C124" s="9" t="s">
        <v>179</v>
      </c>
      <c r="D124" s="9">
        <v>0</v>
      </c>
      <c r="E124" s="9">
        <v>1</v>
      </c>
      <c r="F124" s="9">
        <v>1</v>
      </c>
      <c r="G124" s="9">
        <v>0</v>
      </c>
      <c r="H124" s="9">
        <v>10</v>
      </c>
      <c r="I124" s="9">
        <v>14</v>
      </c>
      <c r="J124" s="11">
        <f t="shared" si="44"/>
        <v>0</v>
      </c>
      <c r="K124" s="10">
        <v>14</v>
      </c>
      <c r="L124" s="11">
        <v>6</v>
      </c>
      <c r="M124" s="11">
        <v>0.1</v>
      </c>
      <c r="N124" s="11" t="s">
        <v>180</v>
      </c>
      <c r="O124" s="11">
        <v>6</v>
      </c>
      <c r="P124" s="9" t="s">
        <v>101</v>
      </c>
      <c r="Q124" s="9">
        <v>1</v>
      </c>
      <c r="R124" s="9">
        <v>22</v>
      </c>
      <c r="S124" s="10">
        <v>18</v>
      </c>
      <c r="T124" s="10">
        <v>13.5</v>
      </c>
      <c r="U124" s="10">
        <f t="shared" si="1"/>
        <v>0.2</v>
      </c>
      <c r="V124" s="9">
        <v>15.46</v>
      </c>
      <c r="W124" s="10">
        <f t="shared" si="43"/>
        <v>0</v>
      </c>
      <c r="X124" s="10">
        <v>45</v>
      </c>
      <c r="Y124" s="10">
        <v>55</v>
      </c>
      <c r="Z124" s="10">
        <v>1</v>
      </c>
      <c r="AA124" s="10">
        <v>0</v>
      </c>
      <c r="AB124" s="9">
        <v>1.5</v>
      </c>
      <c r="AC124" s="9">
        <f t="shared" si="3"/>
        <v>3</v>
      </c>
      <c r="AD124" s="9">
        <v>0.5</v>
      </c>
      <c r="AE124" s="9">
        <v>0.05</v>
      </c>
      <c r="AF124" s="9">
        <v>1.25E-3</v>
      </c>
      <c r="AG124" s="9">
        <v>2.7</v>
      </c>
      <c r="AH124" s="9">
        <v>1.4E-2</v>
      </c>
      <c r="AI124" s="13">
        <v>7</v>
      </c>
      <c r="AJ124" s="9">
        <f t="shared" si="4"/>
        <v>0</v>
      </c>
      <c r="AK124" s="9">
        <v>13</v>
      </c>
      <c r="AL124" s="9">
        <v>33.299999999999997</v>
      </c>
      <c r="AM124" s="9">
        <v>10.18</v>
      </c>
      <c r="AN124" s="15">
        <v>0.4</v>
      </c>
      <c r="AO124" s="9">
        <f t="shared" si="41"/>
        <v>1</v>
      </c>
      <c r="AP124" s="9">
        <v>9</v>
      </c>
      <c r="AQ124" s="9">
        <f t="shared" si="35"/>
        <v>0.3</v>
      </c>
      <c r="AR124" s="9">
        <v>4</v>
      </c>
      <c r="AS124" s="9">
        <v>0.6</v>
      </c>
      <c r="AT124" s="9">
        <v>0.4</v>
      </c>
      <c r="AU124" s="9">
        <v>38</v>
      </c>
      <c r="AV124" s="15">
        <v>0.6</v>
      </c>
      <c r="AW124" s="12">
        <v>20</v>
      </c>
      <c r="AX124" s="9">
        <v>0.2</v>
      </c>
      <c r="AY124" s="9">
        <v>0</v>
      </c>
      <c r="AZ124" s="9">
        <v>0</v>
      </c>
      <c r="BA124" s="9">
        <v>0</v>
      </c>
      <c r="BB124" s="9">
        <v>0</v>
      </c>
      <c r="BC124" s="9">
        <v>33.299999999999997</v>
      </c>
      <c r="BD124" s="9">
        <v>26.23</v>
      </c>
      <c r="BE124" s="9">
        <v>7</v>
      </c>
      <c r="BF124" s="9">
        <f t="shared" si="8"/>
        <v>0.3</v>
      </c>
      <c r="BG124" s="9">
        <f t="shared" si="32"/>
        <v>2</v>
      </c>
      <c r="BH124" s="9">
        <v>6</v>
      </c>
      <c r="BI124" s="9">
        <f t="shared" si="10"/>
        <v>0</v>
      </c>
      <c r="BJ124" s="9">
        <v>2</v>
      </c>
      <c r="BK124" s="9">
        <v>0.14000000000000001</v>
      </c>
      <c r="BL124" s="15">
        <v>7</v>
      </c>
      <c r="BM124" s="14">
        <v>0.33</v>
      </c>
      <c r="BN124" s="8">
        <v>1.4</v>
      </c>
      <c r="BO124" s="14">
        <v>0</v>
      </c>
      <c r="BP124" s="14">
        <v>0</v>
      </c>
      <c r="BQ124" s="14">
        <f t="shared" si="42"/>
        <v>0.3</v>
      </c>
      <c r="BR124" s="15">
        <v>0.63</v>
      </c>
      <c r="BS124" s="15">
        <f t="shared" si="29"/>
        <v>1.0208300000000001</v>
      </c>
      <c r="BT124" s="14">
        <v>0</v>
      </c>
      <c r="BU124" s="14">
        <v>0</v>
      </c>
      <c r="BV124" s="15">
        <v>244.46</v>
      </c>
      <c r="BW124" s="15">
        <v>0.27</v>
      </c>
      <c r="BX124" s="15">
        <f t="shared" si="13"/>
        <v>0</v>
      </c>
      <c r="BY124" s="14">
        <f t="shared" si="14"/>
        <v>45.499999999999993</v>
      </c>
      <c r="BZ124" s="14">
        <f t="shared" si="15"/>
        <v>8.4169999999999998</v>
      </c>
      <c r="CA124" s="14">
        <f t="shared" si="16"/>
        <v>0</v>
      </c>
      <c r="CB124" s="14">
        <f t="shared" si="17"/>
        <v>53.916999999999994</v>
      </c>
      <c r="CC124" s="15">
        <f t="shared" si="18"/>
        <v>0.92800000000000005</v>
      </c>
      <c r="CD124" s="14">
        <f t="shared" si="19"/>
        <v>50.03</v>
      </c>
      <c r="CE124" s="14">
        <f t="shared" si="20"/>
        <v>0.89500000000000002</v>
      </c>
      <c r="CF124" s="14">
        <f t="shared" si="21"/>
        <v>44.78</v>
      </c>
      <c r="CG124" s="14">
        <f t="shared" si="22"/>
        <v>40</v>
      </c>
    </row>
    <row r="125" spans="1:85" ht="13.2" x14ac:dyDescent="0.25">
      <c r="A125" s="8">
        <v>277912</v>
      </c>
      <c r="B125" s="9" t="s">
        <v>225</v>
      </c>
      <c r="C125" s="9" t="s">
        <v>179</v>
      </c>
      <c r="D125" s="9">
        <v>0</v>
      </c>
      <c r="E125" s="9">
        <v>1</v>
      </c>
      <c r="F125" s="9">
        <v>0</v>
      </c>
      <c r="G125" s="9">
        <v>0</v>
      </c>
      <c r="H125" s="9">
        <v>10</v>
      </c>
      <c r="I125" s="9">
        <v>20</v>
      </c>
      <c r="J125" s="11">
        <f t="shared" si="44"/>
        <v>0</v>
      </c>
      <c r="K125" s="10">
        <v>0</v>
      </c>
      <c r="L125" s="11">
        <v>0</v>
      </c>
      <c r="M125" s="11">
        <v>0.1</v>
      </c>
      <c r="N125" s="11" t="s">
        <v>180</v>
      </c>
      <c r="O125" s="11">
        <v>6</v>
      </c>
      <c r="P125" s="9" t="s">
        <v>97</v>
      </c>
      <c r="Q125" s="9">
        <v>1</v>
      </c>
      <c r="R125" s="9">
        <v>29</v>
      </c>
      <c r="S125" s="10">
        <v>0</v>
      </c>
      <c r="T125" s="11">
        <v>0</v>
      </c>
      <c r="U125" s="10">
        <f t="shared" si="1"/>
        <v>0</v>
      </c>
      <c r="V125" s="9">
        <v>25.25</v>
      </c>
      <c r="W125" s="10">
        <f t="shared" si="43"/>
        <v>0.1</v>
      </c>
      <c r="X125" s="10">
        <v>0</v>
      </c>
      <c r="Y125" s="10">
        <v>0</v>
      </c>
      <c r="Z125" s="10">
        <v>0</v>
      </c>
      <c r="AA125" s="10">
        <v>0</v>
      </c>
      <c r="AB125" s="9">
        <v>2</v>
      </c>
      <c r="AC125" s="9">
        <f t="shared" si="3"/>
        <v>3</v>
      </c>
      <c r="AD125" s="9">
        <v>0.5</v>
      </c>
      <c r="AE125" s="9">
        <v>0.15</v>
      </c>
      <c r="AF125" s="9">
        <v>3.7499999999999999E-3</v>
      </c>
      <c r="AG125" s="9">
        <v>41.7</v>
      </c>
      <c r="AH125" s="9">
        <v>0.20899999999999999</v>
      </c>
      <c r="AI125" s="13">
        <v>6</v>
      </c>
      <c r="AJ125" s="9">
        <f t="shared" si="4"/>
        <v>0</v>
      </c>
      <c r="AK125" s="9">
        <v>8</v>
      </c>
      <c r="AL125" s="9">
        <v>33.4</v>
      </c>
      <c r="AM125" s="9">
        <v>10.1</v>
      </c>
      <c r="AN125" s="15">
        <v>0.6</v>
      </c>
      <c r="AO125" s="9">
        <f t="shared" si="41"/>
        <v>0.9</v>
      </c>
      <c r="AP125" s="9">
        <v>8.5</v>
      </c>
      <c r="AQ125" s="9">
        <f t="shared" si="35"/>
        <v>0.1</v>
      </c>
      <c r="AR125" s="9">
        <v>2.5</v>
      </c>
      <c r="AS125" s="9">
        <v>0.7</v>
      </c>
      <c r="AT125" s="9">
        <v>0.47</v>
      </c>
      <c r="AU125" s="9">
        <v>31</v>
      </c>
      <c r="AV125" s="15">
        <v>0.4</v>
      </c>
      <c r="AW125" s="12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33.4</v>
      </c>
      <c r="BD125" s="9">
        <v>42.5</v>
      </c>
      <c r="BE125" s="9">
        <v>7</v>
      </c>
      <c r="BF125" s="9">
        <f t="shared" si="8"/>
        <v>0.3</v>
      </c>
      <c r="BG125" s="9">
        <f t="shared" si="32"/>
        <v>2</v>
      </c>
      <c r="BH125" s="9">
        <v>6</v>
      </c>
      <c r="BI125" s="9">
        <f t="shared" si="10"/>
        <v>0</v>
      </c>
      <c r="BJ125" s="9">
        <v>3</v>
      </c>
      <c r="BK125" s="9">
        <v>0</v>
      </c>
      <c r="BL125" s="15">
        <v>7</v>
      </c>
      <c r="BM125" s="14">
        <v>0.33</v>
      </c>
      <c r="BN125" s="8">
        <v>0</v>
      </c>
      <c r="BO125" s="14">
        <v>0</v>
      </c>
      <c r="BP125" s="14">
        <v>0</v>
      </c>
      <c r="BQ125" s="14">
        <f t="shared" si="42"/>
        <v>0.3</v>
      </c>
      <c r="BR125" s="15">
        <v>0</v>
      </c>
      <c r="BS125" s="15">
        <f t="shared" si="29"/>
        <v>5.8999999999999997E-2</v>
      </c>
      <c r="BT125" s="14">
        <v>0</v>
      </c>
      <c r="BU125" s="14">
        <v>0</v>
      </c>
      <c r="BV125" s="15">
        <v>237.7</v>
      </c>
      <c r="BW125" s="15">
        <v>0.26300000000000001</v>
      </c>
      <c r="BX125" s="15">
        <f t="shared" si="13"/>
        <v>0</v>
      </c>
      <c r="BY125" s="14">
        <f t="shared" si="14"/>
        <v>45.6</v>
      </c>
      <c r="BZ125" s="14">
        <f t="shared" si="15"/>
        <v>0</v>
      </c>
      <c r="CA125" s="14">
        <f t="shared" si="16"/>
        <v>0</v>
      </c>
      <c r="CB125" s="14">
        <f t="shared" si="17"/>
        <v>45.6</v>
      </c>
      <c r="CC125" s="15">
        <f t="shared" si="18"/>
        <v>0.70599999999999996</v>
      </c>
      <c r="CD125" s="14">
        <f t="shared" si="19"/>
        <v>32.19</v>
      </c>
      <c r="CE125" s="14">
        <f t="shared" si="20"/>
        <v>0.98</v>
      </c>
      <c r="CF125" s="14">
        <f t="shared" si="21"/>
        <v>31.55</v>
      </c>
      <c r="CG125" s="14">
        <f t="shared" si="22"/>
        <v>83</v>
      </c>
    </row>
    <row r="126" spans="1:85" ht="13.2" x14ac:dyDescent="0.25">
      <c r="A126" s="8">
        <v>793463</v>
      </c>
      <c r="B126" s="9" t="s">
        <v>226</v>
      </c>
      <c r="C126" s="9" t="s">
        <v>179</v>
      </c>
      <c r="D126" s="9">
        <v>0</v>
      </c>
      <c r="E126" s="9">
        <v>1</v>
      </c>
      <c r="F126" s="9">
        <v>0</v>
      </c>
      <c r="G126" s="9">
        <v>0</v>
      </c>
      <c r="H126" s="9">
        <v>7</v>
      </c>
      <c r="I126" s="9">
        <v>12</v>
      </c>
      <c r="J126" s="11">
        <f t="shared" si="44"/>
        <v>0</v>
      </c>
      <c r="K126" s="10">
        <v>0</v>
      </c>
      <c r="L126" s="11">
        <v>0</v>
      </c>
      <c r="M126" s="11">
        <v>0.1</v>
      </c>
      <c r="N126" s="11" t="s">
        <v>180</v>
      </c>
      <c r="O126" s="11">
        <v>6</v>
      </c>
      <c r="P126" s="9" t="s">
        <v>101</v>
      </c>
      <c r="Q126" s="9">
        <v>1</v>
      </c>
      <c r="R126" s="9">
        <v>34</v>
      </c>
      <c r="S126" s="10">
        <v>0</v>
      </c>
      <c r="T126" s="11">
        <v>0</v>
      </c>
      <c r="U126" s="10">
        <f t="shared" si="1"/>
        <v>0</v>
      </c>
      <c r="V126" s="9">
        <v>16.78</v>
      </c>
      <c r="W126" s="10">
        <f t="shared" si="43"/>
        <v>0</v>
      </c>
      <c r="X126" s="10">
        <v>0</v>
      </c>
      <c r="Y126" s="10">
        <v>0</v>
      </c>
      <c r="Z126" s="10">
        <v>0</v>
      </c>
      <c r="AA126" s="10">
        <v>0</v>
      </c>
      <c r="AB126" s="9">
        <v>1.5</v>
      </c>
      <c r="AC126" s="9">
        <f t="shared" si="3"/>
        <v>3</v>
      </c>
      <c r="AD126" s="9">
        <v>0.5</v>
      </c>
      <c r="AE126" s="9">
        <v>0.05</v>
      </c>
      <c r="AF126" s="9">
        <v>1.25E-3</v>
      </c>
      <c r="AG126" s="9">
        <v>111.1</v>
      </c>
      <c r="AH126" s="9">
        <v>0.55600000000000005</v>
      </c>
      <c r="AI126" s="13">
        <v>6</v>
      </c>
      <c r="AJ126" s="9">
        <f t="shared" si="4"/>
        <v>0</v>
      </c>
      <c r="AK126" s="9">
        <v>9</v>
      </c>
      <c r="AL126" s="9">
        <v>25.1</v>
      </c>
      <c r="AM126" s="9">
        <v>9.3800000000000008</v>
      </c>
      <c r="AN126" s="15">
        <v>0.6</v>
      </c>
      <c r="AO126" s="9">
        <f t="shared" si="41"/>
        <v>0.9</v>
      </c>
      <c r="AP126" s="9">
        <v>8.5</v>
      </c>
      <c r="AQ126" s="9">
        <f t="shared" si="35"/>
        <v>0.3</v>
      </c>
      <c r="AR126" s="9">
        <v>4</v>
      </c>
      <c r="AS126" s="9">
        <v>0.6</v>
      </c>
      <c r="AT126" s="9">
        <v>0.4</v>
      </c>
      <c r="AU126" s="9">
        <v>37</v>
      </c>
      <c r="AV126" s="15">
        <v>0.6</v>
      </c>
      <c r="AW126" s="12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25.1</v>
      </c>
      <c r="BD126" s="9">
        <v>26.22</v>
      </c>
      <c r="BE126" s="9">
        <v>7.5</v>
      </c>
      <c r="BF126" s="9">
        <f t="shared" si="8"/>
        <v>0.4</v>
      </c>
      <c r="BG126" s="9">
        <f t="shared" si="32"/>
        <v>2</v>
      </c>
      <c r="BH126" s="9">
        <v>6</v>
      </c>
      <c r="BI126" s="9">
        <f t="shared" si="10"/>
        <v>0</v>
      </c>
      <c r="BJ126" s="9">
        <v>2</v>
      </c>
      <c r="BK126" s="9">
        <v>0.14000000000000001</v>
      </c>
      <c r="BL126" s="15">
        <v>7</v>
      </c>
      <c r="BM126" s="14">
        <v>0.33</v>
      </c>
      <c r="BN126" s="8">
        <v>0</v>
      </c>
      <c r="BO126" s="14">
        <v>0</v>
      </c>
      <c r="BP126" s="14">
        <v>0</v>
      </c>
      <c r="BQ126" s="14">
        <f t="shared" si="42"/>
        <v>0.3</v>
      </c>
      <c r="BR126" s="15">
        <v>0</v>
      </c>
      <c r="BS126" s="15">
        <f t="shared" si="29"/>
        <v>6.7000000000000004E-2</v>
      </c>
      <c r="BT126" s="14">
        <v>0</v>
      </c>
      <c r="BU126" s="14">
        <v>0</v>
      </c>
      <c r="BV126" s="15">
        <v>171.3</v>
      </c>
      <c r="BW126" s="15">
        <v>0.191</v>
      </c>
      <c r="BX126" s="15">
        <f t="shared" si="13"/>
        <v>0</v>
      </c>
      <c r="BY126" s="14">
        <f t="shared" si="14"/>
        <v>46.5</v>
      </c>
      <c r="BZ126" s="14">
        <f t="shared" si="15"/>
        <v>0</v>
      </c>
      <c r="CA126" s="14">
        <f t="shared" si="16"/>
        <v>0</v>
      </c>
      <c r="CB126" s="14">
        <f t="shared" si="17"/>
        <v>46.5</v>
      </c>
      <c r="CC126" s="15">
        <f t="shared" si="18"/>
        <v>0.70699999999999996</v>
      </c>
      <c r="CD126" s="14">
        <f t="shared" si="19"/>
        <v>32.880000000000003</v>
      </c>
      <c r="CE126" s="14">
        <f t="shared" si="20"/>
        <v>0.94</v>
      </c>
      <c r="CF126" s="14">
        <f t="shared" si="21"/>
        <v>30.91</v>
      </c>
      <c r="CG126" s="14">
        <f t="shared" si="22"/>
        <v>86</v>
      </c>
    </row>
    <row r="127" spans="1:85" ht="13.2" x14ac:dyDescent="0.25">
      <c r="A127" s="8">
        <v>940973</v>
      </c>
      <c r="B127" s="9" t="s">
        <v>227</v>
      </c>
      <c r="C127" s="9" t="s">
        <v>179</v>
      </c>
      <c r="D127" s="9">
        <v>0</v>
      </c>
      <c r="E127" s="9">
        <v>1</v>
      </c>
      <c r="F127" s="9">
        <v>1</v>
      </c>
      <c r="G127" s="9">
        <v>0</v>
      </c>
      <c r="H127" s="9">
        <v>9</v>
      </c>
      <c r="I127" s="9">
        <v>16</v>
      </c>
      <c r="J127" s="11">
        <f t="shared" si="44"/>
        <v>0</v>
      </c>
      <c r="K127" s="10">
        <v>0</v>
      </c>
      <c r="L127" s="11">
        <v>0</v>
      </c>
      <c r="M127" s="11">
        <v>0.1</v>
      </c>
      <c r="N127" s="11" t="s">
        <v>180</v>
      </c>
      <c r="O127" s="11">
        <v>6</v>
      </c>
      <c r="P127" s="9" t="s">
        <v>182</v>
      </c>
      <c r="Q127" s="9">
        <v>1</v>
      </c>
      <c r="R127" s="9">
        <v>26</v>
      </c>
      <c r="S127" s="10">
        <v>0</v>
      </c>
      <c r="T127" s="9">
        <v>15.33</v>
      </c>
      <c r="U127" s="10">
        <f t="shared" si="1"/>
        <v>0.3</v>
      </c>
      <c r="V127" s="9">
        <v>19.8</v>
      </c>
      <c r="W127" s="10">
        <f t="shared" si="43"/>
        <v>0</v>
      </c>
      <c r="X127" s="10">
        <v>90</v>
      </c>
      <c r="Y127" s="10">
        <v>100</v>
      </c>
      <c r="Z127" s="10">
        <v>3</v>
      </c>
      <c r="AA127" s="10">
        <v>0</v>
      </c>
      <c r="AB127" s="9">
        <v>2</v>
      </c>
      <c r="AC127" s="9">
        <f t="shared" si="3"/>
        <v>3</v>
      </c>
      <c r="AD127" s="9">
        <v>0.5</v>
      </c>
      <c r="AE127" s="9">
        <v>0.1</v>
      </c>
      <c r="AF127" s="9">
        <v>2.5000000000000001E-3</v>
      </c>
      <c r="AG127" s="9">
        <v>62.5</v>
      </c>
      <c r="AH127" s="9">
        <v>0.313</v>
      </c>
      <c r="AI127" s="13">
        <v>7</v>
      </c>
      <c r="AJ127" s="9">
        <f t="shared" si="4"/>
        <v>0</v>
      </c>
      <c r="AK127" s="9">
        <v>10</v>
      </c>
      <c r="AL127" s="9">
        <v>33</v>
      </c>
      <c r="AM127" s="9">
        <v>8.61</v>
      </c>
      <c r="AN127" s="15">
        <v>0.9</v>
      </c>
      <c r="AO127" s="9">
        <f t="shared" si="41"/>
        <v>0.9</v>
      </c>
      <c r="AP127" s="9">
        <v>8</v>
      </c>
      <c r="AQ127" s="9">
        <f t="shared" si="35"/>
        <v>0.2</v>
      </c>
      <c r="AR127" s="9">
        <v>3</v>
      </c>
      <c r="AS127" s="9">
        <v>0.8</v>
      </c>
      <c r="AT127" s="9">
        <v>0.53</v>
      </c>
      <c r="AU127" s="9">
        <v>41</v>
      </c>
      <c r="AV127" s="15">
        <v>0.7</v>
      </c>
      <c r="AW127" s="12">
        <v>45</v>
      </c>
      <c r="AX127" s="9">
        <v>0.5</v>
      </c>
      <c r="AY127" s="9">
        <v>0</v>
      </c>
      <c r="AZ127" s="9">
        <v>0</v>
      </c>
      <c r="BA127" s="9">
        <v>0</v>
      </c>
      <c r="BB127" s="9">
        <v>0</v>
      </c>
      <c r="BC127" s="9">
        <v>33</v>
      </c>
      <c r="BD127" s="9">
        <v>28.4</v>
      </c>
      <c r="BE127" s="9">
        <v>7</v>
      </c>
      <c r="BF127" s="9">
        <f t="shared" si="8"/>
        <v>0.3</v>
      </c>
      <c r="BG127" s="9">
        <f t="shared" si="32"/>
        <v>2</v>
      </c>
      <c r="BH127" s="9">
        <v>6</v>
      </c>
      <c r="BI127" s="9">
        <f t="shared" si="10"/>
        <v>0</v>
      </c>
      <c r="BJ127" s="9">
        <v>3</v>
      </c>
      <c r="BK127" s="9">
        <v>0.14000000000000001</v>
      </c>
      <c r="BL127" s="15">
        <v>7</v>
      </c>
      <c r="BM127" s="14">
        <v>0.33</v>
      </c>
      <c r="BN127" s="8">
        <v>1.3</v>
      </c>
      <c r="BO127" s="14">
        <v>0</v>
      </c>
      <c r="BP127" s="14">
        <v>0</v>
      </c>
      <c r="BQ127" s="14">
        <f t="shared" si="42"/>
        <v>0.4</v>
      </c>
      <c r="BR127" s="15">
        <v>0</v>
      </c>
      <c r="BS127" s="15">
        <f t="shared" si="29"/>
        <v>5.8999999999999997E-2</v>
      </c>
      <c r="BT127" s="14">
        <v>0</v>
      </c>
      <c r="BU127" s="14">
        <v>0</v>
      </c>
      <c r="BV127" s="15">
        <v>234.5</v>
      </c>
      <c r="BW127" s="15">
        <v>0.25900000000000001</v>
      </c>
      <c r="BX127" s="15">
        <f t="shared" si="13"/>
        <v>0</v>
      </c>
      <c r="BY127" s="14">
        <f t="shared" si="14"/>
        <v>58.4</v>
      </c>
      <c r="BZ127" s="14">
        <f t="shared" si="15"/>
        <v>12.583</v>
      </c>
      <c r="CA127" s="14">
        <f t="shared" si="16"/>
        <v>0</v>
      </c>
      <c r="CB127" s="14">
        <f t="shared" si="17"/>
        <v>70.983000000000004</v>
      </c>
      <c r="CC127" s="15">
        <f t="shared" si="18"/>
        <v>0.70599999999999996</v>
      </c>
      <c r="CD127" s="14">
        <f t="shared" si="19"/>
        <v>50.11</v>
      </c>
      <c r="CE127" s="14">
        <f t="shared" si="20"/>
        <v>0.93</v>
      </c>
      <c r="CF127" s="14">
        <f t="shared" si="21"/>
        <v>46.6</v>
      </c>
      <c r="CG127" s="14">
        <f t="shared" si="22"/>
        <v>36</v>
      </c>
    </row>
    <row r="128" spans="1:85" ht="13.2" x14ac:dyDescent="0.25">
      <c r="A128" s="8">
        <v>559235</v>
      </c>
      <c r="B128" s="9" t="s">
        <v>228</v>
      </c>
      <c r="C128" s="9" t="s">
        <v>179</v>
      </c>
      <c r="D128" s="9">
        <v>0</v>
      </c>
      <c r="E128" s="9">
        <v>1</v>
      </c>
      <c r="F128" s="9">
        <v>0</v>
      </c>
      <c r="G128" s="9">
        <v>0</v>
      </c>
      <c r="H128" s="9">
        <v>23</v>
      </c>
      <c r="I128" s="9">
        <v>16</v>
      </c>
      <c r="J128" s="11">
        <f t="shared" si="44"/>
        <v>0</v>
      </c>
      <c r="K128" s="10">
        <v>0</v>
      </c>
      <c r="L128" s="11">
        <v>0</v>
      </c>
      <c r="M128" s="11">
        <v>0.1</v>
      </c>
      <c r="N128" s="11" t="s">
        <v>180</v>
      </c>
      <c r="O128" s="11">
        <v>6</v>
      </c>
      <c r="P128" s="9" t="s">
        <v>229</v>
      </c>
      <c r="Q128" s="9">
        <v>1</v>
      </c>
      <c r="R128" s="9">
        <v>19</v>
      </c>
      <c r="S128" s="10">
        <v>0</v>
      </c>
      <c r="T128" s="9">
        <v>0</v>
      </c>
      <c r="U128" s="10">
        <f t="shared" si="1"/>
        <v>0</v>
      </c>
      <c r="V128" s="9">
        <v>20.5</v>
      </c>
      <c r="W128" s="10">
        <f t="shared" si="43"/>
        <v>0</v>
      </c>
      <c r="X128" s="10">
        <v>0</v>
      </c>
      <c r="Y128" s="10">
        <v>0</v>
      </c>
      <c r="Z128" s="10">
        <v>0</v>
      </c>
      <c r="AA128" s="10">
        <v>0</v>
      </c>
      <c r="AB128" s="9">
        <v>1</v>
      </c>
      <c r="AC128" s="9">
        <f t="shared" si="3"/>
        <v>3</v>
      </c>
      <c r="AD128" s="9">
        <v>0.5</v>
      </c>
      <c r="AE128" s="9">
        <v>0.05</v>
      </c>
      <c r="AF128" s="9">
        <v>1.25E-3</v>
      </c>
      <c r="AG128" s="9">
        <v>48</v>
      </c>
      <c r="AH128" s="9">
        <v>0.24</v>
      </c>
      <c r="AI128" s="13">
        <v>5</v>
      </c>
      <c r="AJ128" s="9">
        <f t="shared" si="4"/>
        <v>0</v>
      </c>
      <c r="AK128" s="9">
        <v>24</v>
      </c>
      <c r="AL128" s="9">
        <v>82</v>
      </c>
      <c r="AM128" s="9">
        <v>8.0399999999999991</v>
      </c>
      <c r="AN128" s="15">
        <v>0.6</v>
      </c>
      <c r="AO128" s="9">
        <f t="shared" si="41"/>
        <v>1</v>
      </c>
      <c r="AP128" s="9">
        <v>9</v>
      </c>
      <c r="AQ128" s="9">
        <f t="shared" si="35"/>
        <v>0.5</v>
      </c>
      <c r="AR128" s="9">
        <v>5</v>
      </c>
      <c r="AS128" s="9">
        <v>0.6</v>
      </c>
      <c r="AT128" s="9">
        <v>0.4</v>
      </c>
      <c r="AU128" s="9">
        <v>40</v>
      </c>
      <c r="AV128" s="15">
        <v>0.7</v>
      </c>
      <c r="AW128" s="12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82</v>
      </c>
      <c r="BD128" s="9">
        <v>27.46</v>
      </c>
      <c r="BE128" s="9">
        <v>7.5</v>
      </c>
      <c r="BF128" s="9">
        <f t="shared" si="8"/>
        <v>0.4</v>
      </c>
      <c r="BG128" s="9">
        <f t="shared" si="32"/>
        <v>2</v>
      </c>
      <c r="BH128" s="9">
        <v>7</v>
      </c>
      <c r="BI128" s="9">
        <f t="shared" si="10"/>
        <v>0.3</v>
      </c>
      <c r="BJ128" s="9">
        <v>3</v>
      </c>
      <c r="BK128" s="9">
        <v>0.14000000000000001</v>
      </c>
      <c r="BL128" s="15">
        <v>7</v>
      </c>
      <c r="BM128" s="14">
        <v>0.33</v>
      </c>
      <c r="BN128" s="8">
        <v>0</v>
      </c>
      <c r="BO128" s="14">
        <v>0</v>
      </c>
      <c r="BP128" s="14">
        <v>0</v>
      </c>
      <c r="BQ128" s="14">
        <f t="shared" si="42"/>
        <v>0.4</v>
      </c>
      <c r="BR128" s="15">
        <v>0</v>
      </c>
      <c r="BS128" s="15">
        <f t="shared" si="29"/>
        <v>6.7000000000000004E-2</v>
      </c>
      <c r="BT128" s="14">
        <v>0</v>
      </c>
      <c r="BU128" s="14">
        <v>0</v>
      </c>
      <c r="BV128" s="15">
        <v>626.5</v>
      </c>
      <c r="BW128" s="15">
        <v>0.68500000000000005</v>
      </c>
      <c r="BX128" s="15">
        <f t="shared" si="13"/>
        <v>0</v>
      </c>
      <c r="BY128" s="14">
        <f t="shared" si="14"/>
        <v>52.5</v>
      </c>
      <c r="BZ128" s="14">
        <f t="shared" si="15"/>
        <v>0</v>
      </c>
      <c r="CA128" s="14">
        <f t="shared" si="16"/>
        <v>0</v>
      </c>
      <c r="CB128" s="14">
        <f t="shared" si="17"/>
        <v>52.5</v>
      </c>
      <c r="CC128" s="15">
        <f t="shared" si="18"/>
        <v>0.70699999999999996</v>
      </c>
      <c r="CD128" s="14">
        <f t="shared" si="19"/>
        <v>37.119999999999997</v>
      </c>
      <c r="CE128" s="14">
        <f t="shared" si="20"/>
        <v>0.9</v>
      </c>
      <c r="CF128" s="14">
        <f t="shared" si="21"/>
        <v>33.409999999999997</v>
      </c>
      <c r="CG128" s="14">
        <f t="shared" si="22"/>
        <v>71</v>
      </c>
    </row>
    <row r="129" spans="1:85" ht="13.2" x14ac:dyDescent="0.25">
      <c r="A129" s="8">
        <v>1248759</v>
      </c>
      <c r="B129" s="9" t="s">
        <v>230</v>
      </c>
      <c r="C129" s="9" t="s">
        <v>179</v>
      </c>
      <c r="D129" s="9">
        <v>0</v>
      </c>
      <c r="E129" s="9">
        <v>1</v>
      </c>
      <c r="F129" s="9">
        <v>0</v>
      </c>
      <c r="G129" s="9">
        <v>0</v>
      </c>
      <c r="H129" s="9">
        <v>11</v>
      </c>
      <c r="I129" s="9">
        <v>14</v>
      </c>
      <c r="J129" s="11">
        <f t="shared" si="44"/>
        <v>0</v>
      </c>
      <c r="K129" s="10">
        <v>0</v>
      </c>
      <c r="L129" s="11">
        <v>0</v>
      </c>
      <c r="M129" s="11">
        <v>0.1</v>
      </c>
      <c r="N129" s="11" t="s">
        <v>180</v>
      </c>
      <c r="O129" s="11">
        <v>6</v>
      </c>
      <c r="P129" s="9" t="s">
        <v>231</v>
      </c>
      <c r="Q129" s="9">
        <v>1</v>
      </c>
      <c r="R129" s="9">
        <v>25</v>
      </c>
      <c r="S129" s="10">
        <v>0</v>
      </c>
      <c r="T129" s="9">
        <v>0</v>
      </c>
      <c r="U129" s="10">
        <f t="shared" si="1"/>
        <v>0</v>
      </c>
      <c r="V129" s="9">
        <v>20.73</v>
      </c>
      <c r="W129" s="10">
        <f t="shared" si="43"/>
        <v>0</v>
      </c>
      <c r="X129" s="10">
        <v>0</v>
      </c>
      <c r="Y129" s="10">
        <v>0</v>
      </c>
      <c r="Z129" s="10">
        <v>0</v>
      </c>
      <c r="AA129" s="10">
        <v>0</v>
      </c>
      <c r="AB129" s="9">
        <v>4.5</v>
      </c>
      <c r="AC129" s="9">
        <f t="shared" si="3"/>
        <v>3</v>
      </c>
      <c r="AD129" s="9">
        <v>0.5</v>
      </c>
      <c r="AE129" s="9">
        <v>0.1</v>
      </c>
      <c r="AF129" s="9">
        <v>2.5000000000000001E-3</v>
      </c>
      <c r="AG129" s="9">
        <v>26.7</v>
      </c>
      <c r="AH129" s="9">
        <v>0.13400000000000001</v>
      </c>
      <c r="AI129" s="13">
        <v>6</v>
      </c>
      <c r="AJ129" s="9">
        <f t="shared" si="4"/>
        <v>0</v>
      </c>
      <c r="AK129" s="9">
        <v>11</v>
      </c>
      <c r="AL129" s="9">
        <v>38</v>
      </c>
      <c r="AM129" s="9">
        <v>8.92</v>
      </c>
      <c r="AN129" s="15">
        <v>0.7</v>
      </c>
      <c r="AO129" s="9">
        <f t="shared" si="41"/>
        <v>0.9</v>
      </c>
      <c r="AP129" s="9">
        <v>8.5</v>
      </c>
      <c r="AQ129" s="9">
        <f t="shared" si="35"/>
        <v>0.3</v>
      </c>
      <c r="AR129" s="9">
        <v>3.5</v>
      </c>
      <c r="AS129" s="9">
        <v>0.6</v>
      </c>
      <c r="AT129" s="9">
        <v>0.4</v>
      </c>
      <c r="AU129" s="9">
        <v>36</v>
      </c>
      <c r="AV129" s="15">
        <v>0.6</v>
      </c>
      <c r="AW129" s="12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0</v>
      </c>
      <c r="BC129" s="9">
        <v>38</v>
      </c>
      <c r="BD129" s="9">
        <v>30.82</v>
      </c>
      <c r="BE129" s="9">
        <v>7</v>
      </c>
      <c r="BF129" s="9">
        <f t="shared" si="8"/>
        <v>0.3</v>
      </c>
      <c r="BG129" s="9">
        <f t="shared" si="32"/>
        <v>2</v>
      </c>
      <c r="BH129" s="9">
        <v>7</v>
      </c>
      <c r="BI129" s="9">
        <f t="shared" si="10"/>
        <v>0.3</v>
      </c>
      <c r="BJ129" s="9">
        <v>3</v>
      </c>
      <c r="BK129" s="9">
        <v>0</v>
      </c>
      <c r="BL129" s="15">
        <v>7</v>
      </c>
      <c r="BM129" s="14">
        <v>0.33</v>
      </c>
      <c r="BN129" s="8">
        <v>0</v>
      </c>
      <c r="BO129" s="14">
        <v>0</v>
      </c>
      <c r="BP129" s="14">
        <v>0</v>
      </c>
      <c r="BQ129" s="14">
        <f t="shared" si="42"/>
        <v>0.4</v>
      </c>
      <c r="BR129" s="15">
        <v>0</v>
      </c>
      <c r="BS129" s="15">
        <f t="shared" si="29"/>
        <v>5.8999999999999997E-2</v>
      </c>
      <c r="BT129" s="14">
        <v>0</v>
      </c>
      <c r="BU129" s="14">
        <v>0</v>
      </c>
      <c r="BV129" s="15">
        <v>274.5</v>
      </c>
      <c r="BW129" s="15">
        <v>0.30199999999999999</v>
      </c>
      <c r="BX129" s="15">
        <f t="shared" si="13"/>
        <v>0</v>
      </c>
      <c r="BY129" s="14">
        <f t="shared" si="14"/>
        <v>51</v>
      </c>
      <c r="BZ129" s="14">
        <f t="shared" si="15"/>
        <v>0</v>
      </c>
      <c r="CA129" s="14">
        <f t="shared" si="16"/>
        <v>0</v>
      </c>
      <c r="CB129" s="14">
        <f t="shared" si="17"/>
        <v>51</v>
      </c>
      <c r="CC129" s="15">
        <f t="shared" si="18"/>
        <v>0.70599999999999996</v>
      </c>
      <c r="CD129" s="14">
        <f t="shared" si="19"/>
        <v>36.01</v>
      </c>
      <c r="CE129" s="14">
        <f t="shared" si="20"/>
        <v>0.94</v>
      </c>
      <c r="CF129" s="14">
        <f t="shared" si="21"/>
        <v>33.85</v>
      </c>
      <c r="CG129" s="14">
        <f t="shared" si="22"/>
        <v>66</v>
      </c>
    </row>
    <row r="130" spans="1:85" ht="13.2" x14ac:dyDescent="0.25">
      <c r="A130" s="8">
        <v>802575</v>
      </c>
      <c r="B130" s="9" t="s">
        <v>232</v>
      </c>
      <c r="C130" s="9" t="s">
        <v>179</v>
      </c>
      <c r="D130" s="9">
        <v>0</v>
      </c>
      <c r="E130" s="9">
        <v>1</v>
      </c>
      <c r="F130" s="9">
        <v>0</v>
      </c>
      <c r="G130" s="9">
        <v>0</v>
      </c>
      <c r="H130" s="9">
        <v>11</v>
      </c>
      <c r="I130" s="9">
        <v>10</v>
      </c>
      <c r="J130" s="11">
        <f t="shared" si="44"/>
        <v>0</v>
      </c>
      <c r="K130" s="10">
        <v>0</v>
      </c>
      <c r="L130" s="11">
        <v>0</v>
      </c>
      <c r="M130" s="11">
        <v>0.1</v>
      </c>
      <c r="N130" s="11" t="s">
        <v>180</v>
      </c>
      <c r="O130" s="11">
        <v>6</v>
      </c>
      <c r="P130" s="9" t="s">
        <v>88</v>
      </c>
      <c r="Q130" s="9">
        <v>0</v>
      </c>
      <c r="R130" s="9">
        <v>24</v>
      </c>
      <c r="S130" s="10">
        <v>0</v>
      </c>
      <c r="T130" s="9">
        <v>0</v>
      </c>
      <c r="U130" s="10">
        <f t="shared" si="1"/>
        <v>0</v>
      </c>
      <c r="V130" s="9">
        <v>17.77</v>
      </c>
      <c r="W130" s="10">
        <f t="shared" si="43"/>
        <v>0</v>
      </c>
      <c r="X130" s="10">
        <v>0</v>
      </c>
      <c r="Y130" s="10">
        <v>0</v>
      </c>
      <c r="Z130" s="10">
        <v>0</v>
      </c>
      <c r="AA130" s="10">
        <v>0</v>
      </c>
      <c r="AB130" s="9">
        <v>0.75</v>
      </c>
      <c r="AC130" s="9">
        <f t="shared" si="3"/>
        <v>3</v>
      </c>
      <c r="AD130" s="9">
        <v>0.5</v>
      </c>
      <c r="AE130" s="9">
        <v>0.25</v>
      </c>
      <c r="AF130" s="9">
        <v>6.2500000000000003E-3</v>
      </c>
      <c r="AG130" s="9">
        <v>50</v>
      </c>
      <c r="AH130" s="9">
        <v>0.25</v>
      </c>
      <c r="AI130" s="13">
        <v>6</v>
      </c>
      <c r="AJ130" s="9">
        <f t="shared" si="4"/>
        <v>0</v>
      </c>
      <c r="AK130" s="9">
        <v>13</v>
      </c>
      <c r="AL130" s="9">
        <v>38.299999999999997</v>
      </c>
      <c r="AM130" s="9">
        <v>10.26</v>
      </c>
      <c r="AN130" s="15">
        <v>0.3</v>
      </c>
      <c r="AO130" s="9">
        <f t="shared" si="41"/>
        <v>0.9</v>
      </c>
      <c r="AP130" s="9">
        <v>8.5</v>
      </c>
      <c r="AQ130" s="9">
        <f t="shared" si="35"/>
        <v>0.3</v>
      </c>
      <c r="AR130" s="9">
        <v>3.5</v>
      </c>
      <c r="AS130" s="9">
        <v>0.6</v>
      </c>
      <c r="AT130" s="9">
        <v>0.4</v>
      </c>
      <c r="AU130" s="9">
        <v>34</v>
      </c>
      <c r="AV130" s="15">
        <v>0.5</v>
      </c>
      <c r="AW130" s="12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38.299999999999997</v>
      </c>
      <c r="BD130" s="9">
        <v>30.38</v>
      </c>
      <c r="BE130" s="9">
        <v>7</v>
      </c>
      <c r="BF130" s="9">
        <f t="shared" si="8"/>
        <v>0.3</v>
      </c>
      <c r="BG130" s="9">
        <f t="shared" si="32"/>
        <v>2</v>
      </c>
      <c r="BH130" s="9">
        <v>6</v>
      </c>
      <c r="BI130" s="9">
        <f t="shared" si="10"/>
        <v>0</v>
      </c>
      <c r="BJ130" s="9">
        <v>2</v>
      </c>
      <c r="BK130" s="9">
        <v>0</v>
      </c>
      <c r="BL130" s="15">
        <v>7</v>
      </c>
      <c r="BM130" s="14">
        <v>0.33</v>
      </c>
      <c r="BN130" s="8">
        <v>0</v>
      </c>
      <c r="BO130" s="14">
        <v>0</v>
      </c>
      <c r="BP130" s="14">
        <v>0</v>
      </c>
      <c r="BQ130" s="14">
        <f t="shared" si="42"/>
        <v>0.3</v>
      </c>
      <c r="BR130" s="15">
        <v>0</v>
      </c>
      <c r="BS130" s="15">
        <f t="shared" si="29"/>
        <v>5.8999999999999997E-2</v>
      </c>
      <c r="BT130" s="14">
        <v>0</v>
      </c>
      <c r="BU130" s="14">
        <v>0</v>
      </c>
      <c r="BV130" s="15">
        <v>276.89999999999998</v>
      </c>
      <c r="BW130" s="15">
        <v>0.30499999999999999</v>
      </c>
      <c r="BX130" s="15">
        <f t="shared" si="13"/>
        <v>0</v>
      </c>
      <c r="BY130" s="14">
        <f t="shared" si="14"/>
        <v>42</v>
      </c>
      <c r="BZ130" s="14">
        <f t="shared" si="15"/>
        <v>0</v>
      </c>
      <c r="CA130" s="14">
        <f t="shared" si="16"/>
        <v>0</v>
      </c>
      <c r="CB130" s="14">
        <f t="shared" si="17"/>
        <v>42</v>
      </c>
      <c r="CC130" s="15">
        <f t="shared" si="18"/>
        <v>0.70599999999999996</v>
      </c>
      <c r="CD130" s="14">
        <f t="shared" si="19"/>
        <v>29.65</v>
      </c>
      <c r="CE130" s="14">
        <f t="shared" si="20"/>
        <v>0.94</v>
      </c>
      <c r="CF130" s="14">
        <f t="shared" si="21"/>
        <v>27.87</v>
      </c>
      <c r="CG130" s="14">
        <f t="shared" si="22"/>
        <v>114</v>
      </c>
    </row>
    <row r="131" spans="1:85" ht="13.2" x14ac:dyDescent="0.25">
      <c r="A131" s="8">
        <v>447261</v>
      </c>
      <c r="B131" s="9" t="s">
        <v>233</v>
      </c>
      <c r="C131" s="9" t="s">
        <v>179</v>
      </c>
      <c r="D131" s="9">
        <v>0</v>
      </c>
      <c r="E131" s="9">
        <v>1</v>
      </c>
      <c r="F131" s="9">
        <v>0</v>
      </c>
      <c r="G131" s="9">
        <v>0</v>
      </c>
      <c r="H131" s="9">
        <v>18</v>
      </c>
      <c r="I131" s="9">
        <v>14</v>
      </c>
      <c r="J131" s="11">
        <f t="shared" si="44"/>
        <v>0</v>
      </c>
      <c r="K131" s="10">
        <v>0</v>
      </c>
      <c r="L131" s="11">
        <v>0</v>
      </c>
      <c r="M131" s="11">
        <v>0.1</v>
      </c>
      <c r="N131" s="11" t="s">
        <v>180</v>
      </c>
      <c r="O131" s="11">
        <v>6</v>
      </c>
      <c r="P131" s="9" t="s">
        <v>182</v>
      </c>
      <c r="Q131" s="9">
        <v>1</v>
      </c>
      <c r="R131" s="9">
        <v>25</v>
      </c>
      <c r="S131" s="10">
        <v>0</v>
      </c>
      <c r="T131" s="9">
        <v>0</v>
      </c>
      <c r="U131" s="10">
        <f t="shared" si="1"/>
        <v>0</v>
      </c>
      <c r="V131" s="9">
        <v>31.85</v>
      </c>
      <c r="W131" s="10">
        <f t="shared" si="43"/>
        <v>0.1</v>
      </c>
      <c r="X131" s="10">
        <v>0</v>
      </c>
      <c r="Y131" s="10">
        <v>0</v>
      </c>
      <c r="Z131" s="10">
        <v>0</v>
      </c>
      <c r="AA131" s="10">
        <v>0</v>
      </c>
      <c r="AB131" s="9">
        <v>0.2</v>
      </c>
      <c r="AC131" s="9">
        <f t="shared" si="3"/>
        <v>1</v>
      </c>
      <c r="AD131" s="9">
        <v>0.5</v>
      </c>
      <c r="AE131" s="9">
        <v>0.1</v>
      </c>
      <c r="AF131" s="9">
        <v>2.5000000000000001E-3</v>
      </c>
      <c r="AG131" s="9">
        <v>100</v>
      </c>
      <c r="AH131" s="9">
        <v>0.5</v>
      </c>
      <c r="AI131" s="13">
        <v>5</v>
      </c>
      <c r="AJ131" s="9">
        <f t="shared" si="4"/>
        <v>0</v>
      </c>
      <c r="AK131" s="9">
        <v>13</v>
      </c>
      <c r="AL131" s="9">
        <v>69</v>
      </c>
      <c r="AM131" s="9">
        <v>7.77</v>
      </c>
      <c r="AN131" s="15">
        <v>0.5</v>
      </c>
      <c r="AO131" s="9">
        <f t="shared" si="41"/>
        <v>0.9</v>
      </c>
      <c r="AP131" s="9">
        <v>8</v>
      </c>
      <c r="AQ131" s="9">
        <f t="shared" si="35"/>
        <v>0.3</v>
      </c>
      <c r="AR131" s="9">
        <v>3.5</v>
      </c>
      <c r="AS131" s="9">
        <v>0.6</v>
      </c>
      <c r="AT131" s="9">
        <v>0.4</v>
      </c>
      <c r="AU131" s="9">
        <v>35</v>
      </c>
      <c r="AV131" s="15">
        <v>0.6</v>
      </c>
      <c r="AW131" s="12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69</v>
      </c>
      <c r="BD131" s="9">
        <v>41.23</v>
      </c>
      <c r="BE131" s="9">
        <v>7</v>
      </c>
      <c r="BF131" s="9">
        <f t="shared" si="8"/>
        <v>0.3</v>
      </c>
      <c r="BG131" s="9">
        <f t="shared" si="32"/>
        <v>2</v>
      </c>
      <c r="BH131" s="9">
        <v>6</v>
      </c>
      <c r="BI131" s="9">
        <f t="shared" si="10"/>
        <v>0</v>
      </c>
      <c r="BJ131" s="9">
        <v>2</v>
      </c>
      <c r="BK131" s="9">
        <v>0</v>
      </c>
      <c r="BL131" s="15">
        <v>7</v>
      </c>
      <c r="BM131" s="14">
        <v>0.33</v>
      </c>
      <c r="BN131" s="8">
        <v>0</v>
      </c>
      <c r="BO131" s="14">
        <v>0</v>
      </c>
      <c r="BP131" s="14">
        <v>0</v>
      </c>
      <c r="BQ131" s="14">
        <f>ROUND((0.3*M131) + (0.22*AN131) + (0.18*AT131) + (0.12*AV131) + (0.1*AJ131) + (0.08*AQ132),1)</f>
        <v>0.3</v>
      </c>
      <c r="BR131" s="15">
        <v>0</v>
      </c>
      <c r="BS131" s="15">
        <f t="shared" si="29"/>
        <v>5.8999999999999997E-2</v>
      </c>
      <c r="BT131" s="14">
        <v>0</v>
      </c>
      <c r="BU131" s="14">
        <v>0</v>
      </c>
      <c r="BV131" s="15">
        <v>522.5</v>
      </c>
      <c r="BW131" s="15">
        <v>0.57099999999999995</v>
      </c>
      <c r="BX131" s="15">
        <f t="shared" si="13"/>
        <v>0</v>
      </c>
      <c r="BY131" s="14">
        <f t="shared" si="14"/>
        <v>45.499999999999993</v>
      </c>
      <c r="BZ131" s="14">
        <f t="shared" si="15"/>
        <v>0</v>
      </c>
      <c r="CA131" s="14">
        <f t="shared" si="16"/>
        <v>0</v>
      </c>
      <c r="CB131" s="14">
        <f t="shared" si="17"/>
        <v>45.499999999999993</v>
      </c>
      <c r="CC131" s="15">
        <f t="shared" si="18"/>
        <v>0.70599999999999996</v>
      </c>
      <c r="CD131" s="14">
        <f t="shared" si="19"/>
        <v>32.119999999999997</v>
      </c>
      <c r="CE131" s="14">
        <f t="shared" si="20"/>
        <v>0.94</v>
      </c>
      <c r="CF131" s="14">
        <f t="shared" si="21"/>
        <v>30.19</v>
      </c>
      <c r="CG131" s="14">
        <f t="shared" si="22"/>
        <v>96</v>
      </c>
    </row>
    <row r="132" spans="1:85" ht="13.2" x14ac:dyDescent="0.25">
      <c r="A132" s="8">
        <v>438362</v>
      </c>
      <c r="B132" s="9" t="s">
        <v>234</v>
      </c>
      <c r="C132" s="9" t="s">
        <v>179</v>
      </c>
      <c r="D132" s="9">
        <v>0</v>
      </c>
      <c r="E132" s="9">
        <v>1</v>
      </c>
      <c r="F132" s="9">
        <v>0</v>
      </c>
      <c r="G132" s="9">
        <v>0</v>
      </c>
      <c r="H132" s="9">
        <v>8</v>
      </c>
      <c r="I132" s="9">
        <v>10</v>
      </c>
      <c r="J132" s="11">
        <f t="shared" si="44"/>
        <v>0</v>
      </c>
      <c r="K132" s="10">
        <v>0</v>
      </c>
      <c r="L132" s="11">
        <v>0</v>
      </c>
      <c r="M132" s="11">
        <v>0.1</v>
      </c>
      <c r="N132" s="11" t="s">
        <v>180</v>
      </c>
      <c r="O132" s="11">
        <v>6</v>
      </c>
      <c r="P132" s="9" t="s">
        <v>88</v>
      </c>
      <c r="Q132" s="9">
        <v>0</v>
      </c>
      <c r="R132" s="9">
        <v>22</v>
      </c>
      <c r="S132" s="10">
        <v>0</v>
      </c>
      <c r="T132" s="9">
        <v>0</v>
      </c>
      <c r="U132" s="10">
        <f t="shared" si="1"/>
        <v>0</v>
      </c>
      <c r="V132" s="9">
        <v>16.329999999999998</v>
      </c>
      <c r="W132" s="10">
        <f t="shared" si="43"/>
        <v>0</v>
      </c>
      <c r="X132" s="10">
        <v>0</v>
      </c>
      <c r="Y132" s="10">
        <v>0</v>
      </c>
      <c r="Z132" s="10">
        <v>0</v>
      </c>
      <c r="AA132" s="10">
        <v>0</v>
      </c>
      <c r="AB132" s="9">
        <v>0.3</v>
      </c>
      <c r="AC132" s="9">
        <f t="shared" si="3"/>
        <v>1</v>
      </c>
      <c r="AD132" s="9">
        <v>0.5</v>
      </c>
      <c r="AE132" s="9">
        <v>0.1</v>
      </c>
      <c r="AF132" s="9">
        <v>2.5000000000000001E-3</v>
      </c>
      <c r="AG132" s="9">
        <v>87.5</v>
      </c>
      <c r="AH132" s="9">
        <v>0.438</v>
      </c>
      <c r="AI132" s="13">
        <v>6</v>
      </c>
      <c r="AJ132" s="9">
        <f t="shared" si="4"/>
        <v>0</v>
      </c>
      <c r="AK132" s="9">
        <v>9</v>
      </c>
      <c r="AL132" s="9">
        <v>24.3</v>
      </c>
      <c r="AM132" s="9">
        <v>10.98</v>
      </c>
      <c r="AN132" s="15">
        <v>0.7</v>
      </c>
      <c r="AO132" s="9">
        <f t="shared" si="41"/>
        <v>1</v>
      </c>
      <c r="AP132" s="9">
        <v>9</v>
      </c>
      <c r="AQ132" s="9">
        <f>ROUND((AR131 - MIN($AR$2:$AR2050)) / (MAX($AR$2:$AR2050) - MIN($AR$2:$AR2050)), 1)</f>
        <v>0.3</v>
      </c>
      <c r="AR132" s="9">
        <v>3</v>
      </c>
      <c r="AS132" s="9">
        <v>0.6</v>
      </c>
      <c r="AT132" s="9">
        <v>0.4</v>
      </c>
      <c r="AU132" s="9">
        <v>33</v>
      </c>
      <c r="AV132" s="15">
        <v>0.5</v>
      </c>
      <c r="AW132" s="12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24.3</v>
      </c>
      <c r="BD132" s="9">
        <v>29.89</v>
      </c>
      <c r="BE132" s="9">
        <v>7.5</v>
      </c>
      <c r="BF132" s="9">
        <f t="shared" si="8"/>
        <v>0.4</v>
      </c>
      <c r="BG132" s="9">
        <f t="shared" si="32"/>
        <v>2</v>
      </c>
      <c r="BH132" s="9">
        <v>7</v>
      </c>
      <c r="BI132" s="9">
        <f t="shared" si="10"/>
        <v>0.3</v>
      </c>
      <c r="BJ132" s="9">
        <v>2</v>
      </c>
      <c r="BK132" s="9">
        <v>0</v>
      </c>
      <c r="BL132" s="15">
        <v>7</v>
      </c>
      <c r="BM132" s="14">
        <v>0.33</v>
      </c>
      <c r="BN132" s="8">
        <v>0</v>
      </c>
      <c r="BO132" s="14">
        <v>0</v>
      </c>
      <c r="BP132" s="14">
        <v>0</v>
      </c>
      <c r="BQ132" s="14">
        <f>ROUND((0.3*M132) + (0.22*AN132) + (0.18*AT132) + (0.12*AV132) + (0.1*AJ132) + (0.08*0.3),1)</f>
        <v>0.3</v>
      </c>
      <c r="BR132" s="15">
        <v>0</v>
      </c>
      <c r="BS132" s="15">
        <f t="shared" si="29"/>
        <v>6.7000000000000004E-2</v>
      </c>
      <c r="BT132" s="14">
        <v>0</v>
      </c>
      <c r="BU132" s="14">
        <v>0</v>
      </c>
      <c r="BV132" s="15">
        <v>164.9</v>
      </c>
      <c r="BW132" s="15">
        <v>0.184</v>
      </c>
      <c r="BX132" s="15">
        <f t="shared" si="13"/>
        <v>0</v>
      </c>
      <c r="BY132" s="14">
        <f t="shared" si="14"/>
        <v>47</v>
      </c>
      <c r="BZ132" s="14">
        <f t="shared" si="15"/>
        <v>0</v>
      </c>
      <c r="CA132" s="14">
        <f t="shared" si="16"/>
        <v>0</v>
      </c>
      <c r="CB132" s="14">
        <f t="shared" si="17"/>
        <v>47</v>
      </c>
      <c r="CC132" s="15">
        <f t="shared" si="18"/>
        <v>0.70699999999999996</v>
      </c>
      <c r="CD132" s="14">
        <f t="shared" si="19"/>
        <v>33.229999999999997</v>
      </c>
      <c r="CE132" s="14">
        <f t="shared" si="20"/>
        <v>0.94</v>
      </c>
      <c r="CF132" s="14">
        <f t="shared" si="21"/>
        <v>31.24</v>
      </c>
      <c r="CG132" s="14">
        <f t="shared" si="22"/>
        <v>84</v>
      </c>
    </row>
    <row r="133" spans="1:85" ht="13.2" x14ac:dyDescent="0.25">
      <c r="A133" s="8">
        <v>1279927</v>
      </c>
      <c r="B133" s="9" t="s">
        <v>235</v>
      </c>
      <c r="C133" s="9" t="s">
        <v>179</v>
      </c>
      <c r="D133" s="9">
        <v>0</v>
      </c>
      <c r="E133" s="9">
        <v>1</v>
      </c>
      <c r="F133" s="9">
        <v>0</v>
      </c>
      <c r="G133" s="9">
        <v>0</v>
      </c>
      <c r="H133" s="9">
        <v>8</v>
      </c>
      <c r="I133" s="9">
        <v>14</v>
      </c>
      <c r="J133" s="11">
        <f t="shared" si="44"/>
        <v>0</v>
      </c>
      <c r="K133" s="10">
        <v>0</v>
      </c>
      <c r="L133" s="11">
        <v>0</v>
      </c>
      <c r="M133" s="11">
        <v>0.1</v>
      </c>
      <c r="N133" s="11" t="s">
        <v>180</v>
      </c>
      <c r="O133" s="11">
        <v>6</v>
      </c>
      <c r="P133" s="9" t="s">
        <v>97</v>
      </c>
      <c r="Q133" s="9">
        <v>1</v>
      </c>
      <c r="R133" s="9">
        <v>34</v>
      </c>
      <c r="S133" s="10">
        <v>0</v>
      </c>
      <c r="T133" s="9">
        <v>22</v>
      </c>
      <c r="U133" s="10">
        <f t="shared" si="1"/>
        <v>0.4</v>
      </c>
      <c r="V133" s="9">
        <v>42.75</v>
      </c>
      <c r="W133" s="10">
        <f t="shared" si="43"/>
        <v>0.1</v>
      </c>
      <c r="X133" s="10">
        <v>0</v>
      </c>
      <c r="Y133" s="10">
        <v>0</v>
      </c>
      <c r="Z133" s="10">
        <v>0</v>
      </c>
      <c r="AA133" s="10">
        <v>0</v>
      </c>
      <c r="AB133" s="9">
        <v>0.3</v>
      </c>
      <c r="AC133" s="9">
        <f t="shared" si="3"/>
        <v>1</v>
      </c>
      <c r="AD133" s="9">
        <v>0.5</v>
      </c>
      <c r="AE133" s="9">
        <v>0.05</v>
      </c>
      <c r="AF133" s="9">
        <v>1.25E-3</v>
      </c>
      <c r="AG133" s="9">
        <v>71.400000000000006</v>
      </c>
      <c r="AH133" s="9">
        <v>0.35699999999999998</v>
      </c>
      <c r="AI133" s="13">
        <v>8</v>
      </c>
      <c r="AJ133" s="9">
        <f t="shared" si="4"/>
        <v>0</v>
      </c>
      <c r="AK133" s="9">
        <v>4</v>
      </c>
      <c r="AL133" s="9">
        <v>28.3</v>
      </c>
      <c r="AM133" s="9">
        <v>9.9600000000000009</v>
      </c>
      <c r="AN133" s="15">
        <v>0.4</v>
      </c>
      <c r="AO133" s="9">
        <f t="shared" si="41"/>
        <v>0.9</v>
      </c>
      <c r="AP133" s="9">
        <v>8.5</v>
      </c>
      <c r="AQ133" s="9">
        <f t="shared" ref="AQ133:AQ185" si="45">ROUND((AR133 - MIN($AR$2:$AR2050)) / (MAX($AR$2:$AR2050) - MIN($AR$2:$AR2050)), 1)</f>
        <v>0.3</v>
      </c>
      <c r="AR133" s="9">
        <v>3.5</v>
      </c>
      <c r="AS133" s="9">
        <v>0.6</v>
      </c>
      <c r="AT133" s="9">
        <v>0.4</v>
      </c>
      <c r="AU133" s="9">
        <v>26</v>
      </c>
      <c r="AV133" s="15">
        <v>0.3</v>
      </c>
      <c r="AW133" s="12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28.3</v>
      </c>
      <c r="BD133" s="9">
        <v>71</v>
      </c>
      <c r="BE133" s="9">
        <v>7</v>
      </c>
      <c r="BF133" s="9">
        <f t="shared" si="8"/>
        <v>0.3</v>
      </c>
      <c r="BG133" s="9">
        <f t="shared" si="32"/>
        <v>2</v>
      </c>
      <c r="BH133" s="9">
        <v>7</v>
      </c>
      <c r="BI133" s="9">
        <f t="shared" si="10"/>
        <v>0.3</v>
      </c>
      <c r="BJ133" s="9">
        <v>2</v>
      </c>
      <c r="BK133" s="9">
        <v>0</v>
      </c>
      <c r="BL133" s="15">
        <v>7</v>
      </c>
      <c r="BM133" s="14">
        <v>0.33</v>
      </c>
      <c r="BN133" s="8">
        <v>0</v>
      </c>
      <c r="BO133" s="14">
        <v>0</v>
      </c>
      <c r="BP133" s="14">
        <v>0</v>
      </c>
      <c r="BQ133" s="14">
        <f t="shared" ref="BQ133:BQ155" si="46">ROUND((0.3*M133) + (0.22*AN133) + (0.18*AT133) + (0.12*AV133) + (0.1*AJ133) + (0.08*AQ133),1)</f>
        <v>0.3</v>
      </c>
      <c r="BR133" s="15">
        <v>0</v>
      </c>
      <c r="BS133" s="15">
        <f t="shared" si="29"/>
        <v>5.8999999999999997E-2</v>
      </c>
      <c r="BT133" s="14">
        <v>0</v>
      </c>
      <c r="BU133" s="14">
        <v>0</v>
      </c>
      <c r="BV133" s="15">
        <v>196.9</v>
      </c>
      <c r="BW133" s="15">
        <v>0.218</v>
      </c>
      <c r="BX133" s="15">
        <f t="shared" si="13"/>
        <v>0</v>
      </c>
      <c r="BY133" s="14">
        <f t="shared" si="14"/>
        <v>40</v>
      </c>
      <c r="BZ133" s="14">
        <f t="shared" si="15"/>
        <v>0</v>
      </c>
      <c r="CA133" s="14">
        <f t="shared" si="16"/>
        <v>0</v>
      </c>
      <c r="CB133" s="14">
        <f t="shared" si="17"/>
        <v>40</v>
      </c>
      <c r="CC133" s="15">
        <f t="shared" si="18"/>
        <v>0.70599999999999996</v>
      </c>
      <c r="CD133" s="14">
        <f t="shared" si="19"/>
        <v>28.24</v>
      </c>
      <c r="CE133" s="14">
        <f t="shared" si="20"/>
        <v>0.94</v>
      </c>
      <c r="CF133" s="14">
        <f t="shared" si="21"/>
        <v>26.55</v>
      </c>
      <c r="CG133" s="14">
        <f t="shared" si="22"/>
        <v>118</v>
      </c>
    </row>
    <row r="134" spans="1:85" ht="13.2" x14ac:dyDescent="0.25">
      <c r="A134" s="8">
        <v>625371</v>
      </c>
      <c r="B134" s="9" t="s">
        <v>236</v>
      </c>
      <c r="C134" s="9" t="s">
        <v>179</v>
      </c>
      <c r="D134" s="9">
        <v>0</v>
      </c>
      <c r="E134" s="9">
        <v>1</v>
      </c>
      <c r="F134" s="9">
        <v>0</v>
      </c>
      <c r="G134" s="9">
        <v>0</v>
      </c>
      <c r="H134" s="9">
        <v>5</v>
      </c>
      <c r="I134" s="9">
        <v>20</v>
      </c>
      <c r="J134" s="11">
        <f t="shared" si="44"/>
        <v>0</v>
      </c>
      <c r="K134" s="10">
        <v>0</v>
      </c>
      <c r="L134" s="11">
        <v>0</v>
      </c>
      <c r="M134" s="11">
        <v>0.1</v>
      </c>
      <c r="N134" s="11" t="s">
        <v>180</v>
      </c>
      <c r="O134" s="11">
        <v>6</v>
      </c>
      <c r="P134" s="9" t="s">
        <v>101</v>
      </c>
      <c r="Q134" s="9">
        <v>1</v>
      </c>
      <c r="R134" s="9">
        <v>23</v>
      </c>
      <c r="S134" s="10">
        <v>0</v>
      </c>
      <c r="T134" s="9">
        <v>0</v>
      </c>
      <c r="U134" s="10">
        <f t="shared" si="1"/>
        <v>0</v>
      </c>
      <c r="V134" s="9">
        <v>14.57</v>
      </c>
      <c r="W134" s="10">
        <f t="shared" si="43"/>
        <v>0</v>
      </c>
      <c r="X134" s="10">
        <v>0</v>
      </c>
      <c r="Y134" s="10">
        <v>0</v>
      </c>
      <c r="Z134" s="10">
        <v>0</v>
      </c>
      <c r="AA134" s="10">
        <v>0</v>
      </c>
      <c r="AB134" s="9">
        <v>0.5</v>
      </c>
      <c r="AC134" s="9">
        <f t="shared" si="3"/>
        <v>2</v>
      </c>
      <c r="AD134" s="9">
        <v>0.5</v>
      </c>
      <c r="AE134" s="9">
        <v>0.05</v>
      </c>
      <c r="AF134" s="9">
        <v>1.25E-3</v>
      </c>
      <c r="AG134" s="9">
        <v>60</v>
      </c>
      <c r="AH134" s="9">
        <v>0.3</v>
      </c>
      <c r="AI134" s="13">
        <v>7</v>
      </c>
      <c r="AJ134" s="9">
        <f t="shared" si="4"/>
        <v>0</v>
      </c>
      <c r="AK134" s="9">
        <v>7</v>
      </c>
      <c r="AL134" s="9">
        <v>17</v>
      </c>
      <c r="AM134" s="9">
        <v>8.5299999999999994</v>
      </c>
      <c r="AN134" s="15">
        <v>0.5</v>
      </c>
      <c r="AO134" s="9">
        <f t="shared" si="41"/>
        <v>0.9</v>
      </c>
      <c r="AP134" s="9">
        <v>8.5</v>
      </c>
      <c r="AQ134" s="9">
        <f t="shared" si="45"/>
        <v>0.3</v>
      </c>
      <c r="AR134" s="9">
        <v>3.5</v>
      </c>
      <c r="AS134" s="9">
        <v>0.5</v>
      </c>
      <c r="AT134" s="9">
        <v>0.33</v>
      </c>
      <c r="AU134" s="9">
        <v>41</v>
      </c>
      <c r="AV134" s="15">
        <v>0.3</v>
      </c>
      <c r="AW134" s="12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17</v>
      </c>
      <c r="BD134" s="9">
        <v>20.71</v>
      </c>
      <c r="BE134" s="9">
        <v>7.5</v>
      </c>
      <c r="BF134" s="9">
        <f t="shared" si="8"/>
        <v>0.4</v>
      </c>
      <c r="BG134" s="9">
        <f t="shared" si="32"/>
        <v>2</v>
      </c>
      <c r="BH134" s="9">
        <v>6</v>
      </c>
      <c r="BI134" s="9">
        <f t="shared" si="10"/>
        <v>0</v>
      </c>
      <c r="BJ134" s="9">
        <v>2</v>
      </c>
      <c r="BK134" s="9">
        <v>0</v>
      </c>
      <c r="BL134" s="15">
        <v>7</v>
      </c>
      <c r="BM134" s="14">
        <v>0.33</v>
      </c>
      <c r="BN134" s="8">
        <v>0</v>
      </c>
      <c r="BO134" s="14">
        <v>0</v>
      </c>
      <c r="BP134" s="14">
        <v>0</v>
      </c>
      <c r="BQ134" s="14">
        <f t="shared" si="46"/>
        <v>0.3</v>
      </c>
      <c r="BR134" s="15">
        <v>0</v>
      </c>
      <c r="BS134" s="15">
        <f t="shared" si="29"/>
        <v>6.7000000000000004E-2</v>
      </c>
      <c r="BT134" s="14">
        <v>0</v>
      </c>
      <c r="BU134" s="14">
        <v>0</v>
      </c>
      <c r="BV134" s="15">
        <v>106.5</v>
      </c>
      <c r="BW134" s="15">
        <v>0.12</v>
      </c>
      <c r="BX134" s="15">
        <f t="shared" si="13"/>
        <v>0</v>
      </c>
      <c r="BY134" s="14">
        <f t="shared" si="14"/>
        <v>38.9</v>
      </c>
      <c r="BZ134" s="14">
        <f t="shared" si="15"/>
        <v>0</v>
      </c>
      <c r="CA134" s="14">
        <f t="shared" si="16"/>
        <v>0</v>
      </c>
      <c r="CB134" s="14">
        <f t="shared" si="17"/>
        <v>38.9</v>
      </c>
      <c r="CC134" s="15">
        <f t="shared" si="18"/>
        <v>0.70699999999999996</v>
      </c>
      <c r="CD134" s="14">
        <f t="shared" si="19"/>
        <v>27.5</v>
      </c>
      <c r="CE134" s="14">
        <f t="shared" si="20"/>
        <v>0.94</v>
      </c>
      <c r="CF134" s="14">
        <f t="shared" si="21"/>
        <v>25.85</v>
      </c>
      <c r="CG134" s="14">
        <f t="shared" si="22"/>
        <v>123</v>
      </c>
    </row>
    <row r="135" spans="1:85" ht="13.2" x14ac:dyDescent="0.25">
      <c r="A135" s="8">
        <v>625383</v>
      </c>
      <c r="B135" s="9" t="s">
        <v>237</v>
      </c>
      <c r="C135" s="9" t="s">
        <v>179</v>
      </c>
      <c r="D135" s="9">
        <v>0</v>
      </c>
      <c r="E135" s="9">
        <v>1</v>
      </c>
      <c r="F135" s="9">
        <v>0</v>
      </c>
      <c r="G135" s="9">
        <v>0</v>
      </c>
      <c r="H135" s="9">
        <v>5</v>
      </c>
      <c r="I135" s="9">
        <v>20</v>
      </c>
      <c r="J135" s="11">
        <f t="shared" si="44"/>
        <v>0</v>
      </c>
      <c r="K135" s="10">
        <v>0</v>
      </c>
      <c r="L135" s="11">
        <v>0</v>
      </c>
      <c r="M135" s="11">
        <v>0.1</v>
      </c>
      <c r="N135" s="11" t="s">
        <v>180</v>
      </c>
      <c r="O135" s="11">
        <v>6</v>
      </c>
      <c r="P135" s="9" t="s">
        <v>103</v>
      </c>
      <c r="Q135" s="9">
        <v>1</v>
      </c>
      <c r="R135" s="9">
        <v>28</v>
      </c>
      <c r="S135" s="10">
        <v>0</v>
      </c>
      <c r="T135" s="9">
        <v>0</v>
      </c>
      <c r="U135" s="10">
        <f t="shared" si="1"/>
        <v>0</v>
      </c>
      <c r="V135" s="9">
        <v>16.86</v>
      </c>
      <c r="W135" s="10">
        <f t="shared" si="43"/>
        <v>0</v>
      </c>
      <c r="X135" s="10">
        <v>0</v>
      </c>
      <c r="Y135" s="10">
        <v>0</v>
      </c>
      <c r="Z135" s="10">
        <v>0</v>
      </c>
      <c r="AA135" s="10">
        <v>0</v>
      </c>
      <c r="AB135" s="9">
        <v>0.2</v>
      </c>
      <c r="AC135" s="9">
        <f t="shared" si="3"/>
        <v>1</v>
      </c>
      <c r="AD135" s="9">
        <v>0.5</v>
      </c>
      <c r="AE135" s="9">
        <v>0.05</v>
      </c>
      <c r="AF135" s="9">
        <v>1.25E-3</v>
      </c>
      <c r="AG135" s="9">
        <v>5</v>
      </c>
      <c r="AH135" s="9">
        <v>2.5000000000000001E-2</v>
      </c>
      <c r="AI135" s="13">
        <v>5</v>
      </c>
      <c r="AJ135" s="9">
        <f t="shared" si="4"/>
        <v>0</v>
      </c>
      <c r="AK135" s="9">
        <v>7</v>
      </c>
      <c r="AL135" s="9">
        <v>19.399999999999999</v>
      </c>
      <c r="AM135" s="9">
        <v>10.53</v>
      </c>
      <c r="AN135" s="15">
        <v>0.5</v>
      </c>
      <c r="AO135" s="9">
        <f t="shared" si="41"/>
        <v>0.9</v>
      </c>
      <c r="AP135" s="9">
        <v>8.5</v>
      </c>
      <c r="AQ135" s="9">
        <f t="shared" si="45"/>
        <v>0.6</v>
      </c>
      <c r="AR135" s="9">
        <v>5.5</v>
      </c>
      <c r="AS135" s="9">
        <v>0.6</v>
      </c>
      <c r="AT135" s="9">
        <v>0.4</v>
      </c>
      <c r="AU135" s="9">
        <v>30</v>
      </c>
      <c r="AV135" s="15">
        <v>0.4</v>
      </c>
      <c r="AW135" s="12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19.399999999999999</v>
      </c>
      <c r="BD135" s="9">
        <v>29.57</v>
      </c>
      <c r="BE135" s="9">
        <v>7.5</v>
      </c>
      <c r="BF135" s="9">
        <f t="shared" si="8"/>
        <v>0.4</v>
      </c>
      <c r="BG135" s="9">
        <f t="shared" si="32"/>
        <v>2</v>
      </c>
      <c r="BH135" s="9">
        <v>6</v>
      </c>
      <c r="BI135" s="9">
        <f t="shared" si="10"/>
        <v>0</v>
      </c>
      <c r="BJ135" s="9">
        <v>2</v>
      </c>
      <c r="BK135" s="9">
        <v>0.14000000000000001</v>
      </c>
      <c r="BL135" s="15">
        <v>7</v>
      </c>
      <c r="BM135" s="14">
        <v>0.33</v>
      </c>
      <c r="BN135" s="8">
        <v>0</v>
      </c>
      <c r="BO135" s="14">
        <v>0</v>
      </c>
      <c r="BP135" s="14">
        <v>0</v>
      </c>
      <c r="BQ135" s="14">
        <f t="shared" si="46"/>
        <v>0.3</v>
      </c>
      <c r="BR135" s="15">
        <v>0</v>
      </c>
      <c r="BS135" s="15">
        <f t="shared" si="29"/>
        <v>6.7000000000000004E-2</v>
      </c>
      <c r="BT135" s="14">
        <v>0</v>
      </c>
      <c r="BU135" s="14">
        <v>0</v>
      </c>
      <c r="BV135" s="15">
        <v>125.7</v>
      </c>
      <c r="BW135" s="15">
        <v>0.14099999999999999</v>
      </c>
      <c r="BX135" s="15">
        <f t="shared" si="13"/>
        <v>0</v>
      </c>
      <c r="BY135" s="14">
        <f t="shared" si="14"/>
        <v>42.5</v>
      </c>
      <c r="BZ135" s="14">
        <f t="shared" si="15"/>
        <v>0</v>
      </c>
      <c r="CA135" s="14">
        <f t="shared" si="16"/>
        <v>0</v>
      </c>
      <c r="CB135" s="14">
        <f t="shared" si="17"/>
        <v>42.5</v>
      </c>
      <c r="CC135" s="15">
        <f t="shared" si="18"/>
        <v>0.70699999999999996</v>
      </c>
      <c r="CD135" s="14">
        <f t="shared" si="19"/>
        <v>30.05</v>
      </c>
      <c r="CE135" s="14">
        <f t="shared" si="20"/>
        <v>0.88</v>
      </c>
      <c r="CF135" s="14">
        <f t="shared" si="21"/>
        <v>26.44</v>
      </c>
      <c r="CG135" s="14">
        <f t="shared" si="22"/>
        <v>120</v>
      </c>
    </row>
    <row r="136" spans="1:85" ht="13.2" x14ac:dyDescent="0.25">
      <c r="A136" s="8">
        <v>475281</v>
      </c>
      <c r="B136" s="9" t="s">
        <v>238</v>
      </c>
      <c r="C136" s="9" t="s">
        <v>179</v>
      </c>
      <c r="D136" s="9">
        <v>0</v>
      </c>
      <c r="E136" s="9">
        <v>1</v>
      </c>
      <c r="F136" s="9">
        <v>0</v>
      </c>
      <c r="G136" s="9">
        <v>0</v>
      </c>
      <c r="H136" s="9">
        <v>5</v>
      </c>
      <c r="I136" s="9">
        <v>14</v>
      </c>
      <c r="J136" s="11">
        <f t="shared" si="44"/>
        <v>0</v>
      </c>
      <c r="K136" s="10">
        <v>0</v>
      </c>
      <c r="L136" s="11">
        <v>0</v>
      </c>
      <c r="M136" s="11">
        <v>0.1</v>
      </c>
      <c r="N136" s="11" t="s">
        <v>180</v>
      </c>
      <c r="O136" s="11">
        <v>6</v>
      </c>
      <c r="P136" s="9" t="s">
        <v>88</v>
      </c>
      <c r="Q136" s="9">
        <v>0</v>
      </c>
      <c r="R136" s="9">
        <v>33</v>
      </c>
      <c r="S136" s="10">
        <v>0</v>
      </c>
      <c r="T136" s="9">
        <v>0</v>
      </c>
      <c r="U136" s="10">
        <f t="shared" si="1"/>
        <v>0</v>
      </c>
      <c r="V136" s="9">
        <v>11</v>
      </c>
      <c r="W136" s="10">
        <f t="shared" si="43"/>
        <v>0</v>
      </c>
      <c r="X136" s="10">
        <v>0</v>
      </c>
      <c r="Y136" s="10">
        <v>0</v>
      </c>
      <c r="Z136" s="10">
        <v>0</v>
      </c>
      <c r="AA136" s="10">
        <v>0</v>
      </c>
      <c r="AB136" s="9">
        <v>0.2</v>
      </c>
      <c r="AC136" s="9">
        <f t="shared" si="3"/>
        <v>1</v>
      </c>
      <c r="AD136" s="9">
        <v>0.5</v>
      </c>
      <c r="AE136" s="9">
        <v>0.05</v>
      </c>
      <c r="AF136" s="9">
        <v>1.25E-3</v>
      </c>
      <c r="AG136" s="9">
        <v>25</v>
      </c>
      <c r="AH136" s="9">
        <v>0.125</v>
      </c>
      <c r="AI136" s="13">
        <v>6</v>
      </c>
      <c r="AJ136" s="9">
        <f t="shared" si="4"/>
        <v>0</v>
      </c>
      <c r="AK136" s="9">
        <v>6</v>
      </c>
      <c r="AL136" s="9">
        <v>11</v>
      </c>
      <c r="AM136" s="9">
        <v>10.82</v>
      </c>
      <c r="AN136" s="15">
        <v>0.6</v>
      </c>
      <c r="AO136" s="9">
        <f t="shared" si="41"/>
        <v>1</v>
      </c>
      <c r="AP136" s="9">
        <v>9</v>
      </c>
      <c r="AQ136" s="9">
        <f t="shared" si="45"/>
        <v>0.3</v>
      </c>
      <c r="AR136" s="9">
        <v>4</v>
      </c>
      <c r="AS136" s="9">
        <v>0.6</v>
      </c>
      <c r="AT136" s="9">
        <v>0.4</v>
      </c>
      <c r="AU136" s="9">
        <v>30</v>
      </c>
      <c r="AV136" s="15">
        <v>0.4</v>
      </c>
      <c r="AW136" s="12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11</v>
      </c>
      <c r="BD136" s="9">
        <v>19.829999999999998</v>
      </c>
      <c r="BE136" s="9">
        <v>7</v>
      </c>
      <c r="BF136" s="9">
        <f t="shared" si="8"/>
        <v>0.3</v>
      </c>
      <c r="BG136" s="9">
        <f t="shared" si="32"/>
        <v>2</v>
      </c>
      <c r="BH136" s="9">
        <v>6</v>
      </c>
      <c r="BI136" s="9">
        <f t="shared" si="10"/>
        <v>0</v>
      </c>
      <c r="BJ136" s="9">
        <v>3</v>
      </c>
      <c r="BK136" s="9">
        <v>0</v>
      </c>
      <c r="BL136" s="15">
        <v>7</v>
      </c>
      <c r="BM136" s="14">
        <v>0.33</v>
      </c>
      <c r="BN136" s="8">
        <v>0</v>
      </c>
      <c r="BO136" s="14">
        <v>0</v>
      </c>
      <c r="BP136" s="14">
        <v>0</v>
      </c>
      <c r="BQ136" s="14">
        <f t="shared" si="46"/>
        <v>0.3</v>
      </c>
      <c r="BR136" s="15">
        <v>0</v>
      </c>
      <c r="BS136" s="15">
        <f t="shared" si="29"/>
        <v>5.8999999999999997E-2</v>
      </c>
      <c r="BT136" s="14">
        <v>0</v>
      </c>
      <c r="BU136" s="14">
        <v>0</v>
      </c>
      <c r="BV136" s="15">
        <v>58.5</v>
      </c>
      <c r="BW136" s="15">
        <v>6.9000000000000006E-2</v>
      </c>
      <c r="BX136" s="15">
        <f t="shared" si="13"/>
        <v>0</v>
      </c>
      <c r="BY136" s="14">
        <f t="shared" si="14"/>
        <v>44.499999999999993</v>
      </c>
      <c r="BZ136" s="14">
        <f t="shared" si="15"/>
        <v>0</v>
      </c>
      <c r="CA136" s="14">
        <f t="shared" si="16"/>
        <v>0</v>
      </c>
      <c r="CB136" s="14">
        <f t="shared" si="17"/>
        <v>44.499999999999993</v>
      </c>
      <c r="CC136" s="15">
        <f t="shared" si="18"/>
        <v>0.70599999999999996</v>
      </c>
      <c r="CD136" s="14">
        <f t="shared" si="19"/>
        <v>31.42</v>
      </c>
      <c r="CE136" s="14">
        <f t="shared" si="20"/>
        <v>0.94</v>
      </c>
      <c r="CF136" s="14">
        <f t="shared" si="21"/>
        <v>29.53</v>
      </c>
      <c r="CG136" s="14">
        <f t="shared" si="22"/>
        <v>106</v>
      </c>
    </row>
    <row r="137" spans="1:85" ht="13.2" x14ac:dyDescent="0.25">
      <c r="A137" s="8">
        <v>692723</v>
      </c>
      <c r="B137" s="9" t="s">
        <v>239</v>
      </c>
      <c r="C137" s="9" t="s">
        <v>179</v>
      </c>
      <c r="D137" s="9">
        <v>0</v>
      </c>
      <c r="E137" s="9">
        <v>1</v>
      </c>
      <c r="F137" s="9">
        <v>0</v>
      </c>
      <c r="G137" s="9">
        <v>0</v>
      </c>
      <c r="H137" s="9">
        <v>7</v>
      </c>
      <c r="I137" s="9">
        <v>16</v>
      </c>
      <c r="J137" s="11">
        <f t="shared" si="44"/>
        <v>0</v>
      </c>
      <c r="K137" s="10">
        <v>0</v>
      </c>
      <c r="L137" s="11">
        <v>0</v>
      </c>
      <c r="M137" s="11">
        <v>0.1</v>
      </c>
      <c r="N137" s="11" t="s">
        <v>180</v>
      </c>
      <c r="O137" s="11">
        <v>6</v>
      </c>
      <c r="P137" s="9" t="s">
        <v>182</v>
      </c>
      <c r="Q137" s="9">
        <v>1</v>
      </c>
      <c r="R137" s="9">
        <v>25</v>
      </c>
      <c r="S137" s="10">
        <v>0</v>
      </c>
      <c r="T137" s="9">
        <v>0</v>
      </c>
      <c r="U137" s="10">
        <f t="shared" si="1"/>
        <v>0</v>
      </c>
      <c r="V137" s="9">
        <v>19.5</v>
      </c>
      <c r="W137" s="10">
        <f t="shared" si="43"/>
        <v>0</v>
      </c>
      <c r="X137" s="10">
        <v>0</v>
      </c>
      <c r="Y137" s="10">
        <v>0</v>
      </c>
      <c r="Z137" s="10">
        <v>0</v>
      </c>
      <c r="AA137" s="10">
        <v>0</v>
      </c>
      <c r="AB137" s="9">
        <v>0.3</v>
      </c>
      <c r="AC137" s="9">
        <f t="shared" si="3"/>
        <v>1</v>
      </c>
      <c r="AD137" s="9">
        <v>0.5</v>
      </c>
      <c r="AE137" s="9">
        <v>0.05</v>
      </c>
      <c r="AF137" s="9">
        <v>1.25E-3</v>
      </c>
      <c r="AG137" s="9">
        <v>33.299999999999997</v>
      </c>
      <c r="AH137" s="9">
        <v>0.16700000000000001</v>
      </c>
      <c r="AI137" s="13">
        <v>7</v>
      </c>
      <c r="AJ137" s="9">
        <f t="shared" si="4"/>
        <v>0</v>
      </c>
      <c r="AK137" s="9">
        <v>8</v>
      </c>
      <c r="AL137" s="9">
        <v>26</v>
      </c>
      <c r="AM137" s="9">
        <v>9.8800000000000008</v>
      </c>
      <c r="AN137" s="15">
        <v>0.6</v>
      </c>
      <c r="AO137" s="9">
        <f t="shared" si="41"/>
        <v>0.9</v>
      </c>
      <c r="AP137" s="9">
        <v>8.5</v>
      </c>
      <c r="AQ137" s="9">
        <f t="shared" si="45"/>
        <v>0.1</v>
      </c>
      <c r="AR137" s="9">
        <v>2.5</v>
      </c>
      <c r="AS137" s="9">
        <v>0.5</v>
      </c>
      <c r="AT137" s="9">
        <v>0.33</v>
      </c>
      <c r="AU137" s="9">
        <v>38</v>
      </c>
      <c r="AV137" s="15">
        <v>0.6</v>
      </c>
      <c r="AW137" s="12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26</v>
      </c>
      <c r="BD137" s="9">
        <v>32.130000000000003</v>
      </c>
      <c r="BE137" s="9">
        <v>7.5</v>
      </c>
      <c r="BF137" s="9">
        <f t="shared" si="8"/>
        <v>0.4</v>
      </c>
      <c r="BG137" s="9">
        <f t="shared" si="32"/>
        <v>2</v>
      </c>
      <c r="BH137" s="9">
        <v>6</v>
      </c>
      <c r="BI137" s="9">
        <f t="shared" si="10"/>
        <v>0</v>
      </c>
      <c r="BJ137" s="9">
        <v>2</v>
      </c>
      <c r="BK137" s="9">
        <v>0</v>
      </c>
      <c r="BL137" s="15">
        <v>7</v>
      </c>
      <c r="BM137" s="14">
        <v>0.33</v>
      </c>
      <c r="BN137" s="8">
        <v>0</v>
      </c>
      <c r="BO137" s="14">
        <v>0</v>
      </c>
      <c r="BP137" s="14">
        <v>0</v>
      </c>
      <c r="BQ137" s="14">
        <f t="shared" si="46"/>
        <v>0.3</v>
      </c>
      <c r="BR137" s="15">
        <v>0</v>
      </c>
      <c r="BS137" s="15">
        <f t="shared" si="29"/>
        <v>6.7000000000000004E-2</v>
      </c>
      <c r="BT137" s="14">
        <v>0</v>
      </c>
      <c r="BU137" s="14">
        <v>0</v>
      </c>
      <c r="BV137" s="15">
        <v>178.5</v>
      </c>
      <c r="BW137" s="15">
        <v>0.19900000000000001</v>
      </c>
      <c r="BX137" s="15">
        <f t="shared" si="13"/>
        <v>0</v>
      </c>
      <c r="BY137" s="14">
        <f t="shared" si="14"/>
        <v>44.400000000000006</v>
      </c>
      <c r="BZ137" s="14">
        <f t="shared" si="15"/>
        <v>0</v>
      </c>
      <c r="CA137" s="14">
        <f t="shared" si="16"/>
        <v>0</v>
      </c>
      <c r="CB137" s="14">
        <f t="shared" si="17"/>
        <v>44.400000000000006</v>
      </c>
      <c r="CC137" s="15">
        <f t="shared" si="18"/>
        <v>0.70699999999999996</v>
      </c>
      <c r="CD137" s="14">
        <f t="shared" si="19"/>
        <v>31.39</v>
      </c>
      <c r="CE137" s="14">
        <f t="shared" si="20"/>
        <v>0.98</v>
      </c>
      <c r="CF137" s="14">
        <f t="shared" si="21"/>
        <v>30.76</v>
      </c>
      <c r="CG137" s="14">
        <f t="shared" si="22"/>
        <v>89</v>
      </c>
    </row>
    <row r="138" spans="1:85" ht="13.2" x14ac:dyDescent="0.25">
      <c r="A138" s="8">
        <v>696401</v>
      </c>
      <c r="B138" s="9" t="s">
        <v>240</v>
      </c>
      <c r="C138" s="9" t="s">
        <v>179</v>
      </c>
      <c r="D138" s="9">
        <v>0</v>
      </c>
      <c r="E138" s="9">
        <v>1</v>
      </c>
      <c r="F138" s="9">
        <v>0</v>
      </c>
      <c r="G138" s="9">
        <v>0</v>
      </c>
      <c r="H138" s="9">
        <v>12</v>
      </c>
      <c r="I138" s="9">
        <v>14</v>
      </c>
      <c r="J138" s="11">
        <f t="shared" si="44"/>
        <v>0</v>
      </c>
      <c r="K138" s="10">
        <v>0</v>
      </c>
      <c r="L138" s="11">
        <v>0</v>
      </c>
      <c r="M138" s="11">
        <v>0.1</v>
      </c>
      <c r="N138" s="11" t="s">
        <v>180</v>
      </c>
      <c r="O138" s="11">
        <v>6</v>
      </c>
      <c r="P138" s="9" t="s">
        <v>103</v>
      </c>
      <c r="Q138" s="9">
        <v>1</v>
      </c>
      <c r="R138" s="9">
        <v>32</v>
      </c>
      <c r="S138" s="10">
        <v>0</v>
      </c>
      <c r="T138" s="9">
        <v>0</v>
      </c>
      <c r="U138" s="10">
        <f t="shared" si="1"/>
        <v>0</v>
      </c>
      <c r="V138" s="9">
        <v>18</v>
      </c>
      <c r="W138" s="10">
        <f t="shared" si="43"/>
        <v>0</v>
      </c>
      <c r="X138" s="10">
        <v>0</v>
      </c>
      <c r="Y138" s="10">
        <v>0</v>
      </c>
      <c r="Z138" s="10">
        <v>0</v>
      </c>
      <c r="AA138" s="10">
        <v>0</v>
      </c>
      <c r="AB138" s="9">
        <v>16.61</v>
      </c>
      <c r="AC138" s="9">
        <f t="shared" si="3"/>
        <v>3</v>
      </c>
      <c r="AD138" s="9">
        <v>0.5</v>
      </c>
      <c r="AE138" s="9">
        <v>0.05</v>
      </c>
      <c r="AF138" s="9">
        <v>1.25E-3</v>
      </c>
      <c r="AG138" s="9">
        <v>50</v>
      </c>
      <c r="AH138" s="9">
        <v>0.25</v>
      </c>
      <c r="AI138" s="13">
        <v>6</v>
      </c>
      <c r="AJ138" s="9">
        <f t="shared" si="4"/>
        <v>0</v>
      </c>
      <c r="AK138" s="9">
        <v>14</v>
      </c>
      <c r="AL138" s="9">
        <v>42</v>
      </c>
      <c r="AM138" s="9">
        <v>9.2100000000000009</v>
      </c>
      <c r="AN138" s="15">
        <v>0.5</v>
      </c>
      <c r="AO138" s="9">
        <f t="shared" si="41"/>
        <v>0.9</v>
      </c>
      <c r="AP138" s="9">
        <v>8.5</v>
      </c>
      <c r="AQ138" s="9">
        <f t="shared" si="45"/>
        <v>0.1</v>
      </c>
      <c r="AR138" s="9">
        <v>2.5</v>
      </c>
      <c r="AS138" s="9">
        <v>0.6</v>
      </c>
      <c r="AT138" s="9">
        <v>0.4</v>
      </c>
      <c r="AU138" s="9">
        <v>34</v>
      </c>
      <c r="AV138" s="15">
        <v>0.5</v>
      </c>
      <c r="AW138" s="12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42</v>
      </c>
      <c r="BD138" s="9">
        <v>27.64</v>
      </c>
      <c r="BE138" s="9">
        <v>7</v>
      </c>
      <c r="BF138" s="9">
        <f t="shared" si="8"/>
        <v>0.3</v>
      </c>
      <c r="BG138" s="9">
        <f t="shared" si="32"/>
        <v>2</v>
      </c>
      <c r="BH138" s="9">
        <v>7</v>
      </c>
      <c r="BI138" s="9">
        <f t="shared" si="10"/>
        <v>0.3</v>
      </c>
      <c r="BJ138" s="9">
        <v>2</v>
      </c>
      <c r="BK138" s="9">
        <v>0</v>
      </c>
      <c r="BL138" s="15">
        <v>8</v>
      </c>
      <c r="BM138" s="14">
        <v>0.67</v>
      </c>
      <c r="BN138" s="8">
        <v>0</v>
      </c>
      <c r="BO138" s="14">
        <v>0</v>
      </c>
      <c r="BP138" s="14">
        <v>0</v>
      </c>
      <c r="BQ138" s="14">
        <f t="shared" si="46"/>
        <v>0.3</v>
      </c>
      <c r="BR138" s="15">
        <v>0</v>
      </c>
      <c r="BS138" s="15">
        <f t="shared" si="29"/>
        <v>5.8999999999999997E-2</v>
      </c>
      <c r="BT138" s="14">
        <v>0</v>
      </c>
      <c r="BU138" s="14">
        <v>0</v>
      </c>
      <c r="BV138" s="15">
        <v>301.5</v>
      </c>
      <c r="BW138" s="15">
        <v>0.33200000000000002</v>
      </c>
      <c r="BX138" s="15">
        <f t="shared" si="13"/>
        <v>0</v>
      </c>
      <c r="BY138" s="14">
        <f t="shared" si="14"/>
        <v>44</v>
      </c>
      <c r="BZ138" s="14">
        <f t="shared" si="15"/>
        <v>0</v>
      </c>
      <c r="CA138" s="14">
        <f t="shared" si="16"/>
        <v>0</v>
      </c>
      <c r="CB138" s="14">
        <f t="shared" si="17"/>
        <v>44</v>
      </c>
      <c r="CC138" s="15">
        <f t="shared" si="18"/>
        <v>0.70599999999999996</v>
      </c>
      <c r="CD138" s="14">
        <f t="shared" si="19"/>
        <v>31.06</v>
      </c>
      <c r="CE138" s="14">
        <f t="shared" si="20"/>
        <v>0.98</v>
      </c>
      <c r="CF138" s="14">
        <f t="shared" si="21"/>
        <v>30.44</v>
      </c>
      <c r="CG138" s="14">
        <f t="shared" si="22"/>
        <v>94</v>
      </c>
    </row>
    <row r="139" spans="1:85" ht="13.2" x14ac:dyDescent="0.25">
      <c r="A139" s="8">
        <v>234675</v>
      </c>
      <c r="B139" s="9" t="s">
        <v>241</v>
      </c>
      <c r="C139" s="9" t="s">
        <v>179</v>
      </c>
      <c r="D139" s="9">
        <v>0</v>
      </c>
      <c r="E139" s="9">
        <v>1</v>
      </c>
      <c r="F139" s="9">
        <v>0</v>
      </c>
      <c r="G139" s="9">
        <v>0</v>
      </c>
      <c r="H139" s="9">
        <v>6</v>
      </c>
      <c r="I139" s="9">
        <v>20</v>
      </c>
      <c r="J139" s="11">
        <f t="shared" si="44"/>
        <v>0</v>
      </c>
      <c r="K139" s="10">
        <v>0</v>
      </c>
      <c r="L139" s="11">
        <v>0</v>
      </c>
      <c r="M139" s="11">
        <v>0.1</v>
      </c>
      <c r="N139" s="11" t="s">
        <v>180</v>
      </c>
      <c r="O139" s="11">
        <v>6</v>
      </c>
      <c r="P139" s="9" t="s">
        <v>242</v>
      </c>
      <c r="Q139" s="9">
        <v>1</v>
      </c>
      <c r="R139" s="9">
        <v>34</v>
      </c>
      <c r="S139" s="10">
        <v>0</v>
      </c>
      <c r="T139" s="9">
        <v>0</v>
      </c>
      <c r="U139" s="10">
        <f t="shared" si="1"/>
        <v>0</v>
      </c>
      <c r="V139" s="9">
        <v>44</v>
      </c>
      <c r="W139" s="10">
        <f t="shared" si="43"/>
        <v>0.1</v>
      </c>
      <c r="X139" s="10">
        <v>0</v>
      </c>
      <c r="Y139" s="10">
        <v>0</v>
      </c>
      <c r="Z139" s="10">
        <v>0</v>
      </c>
      <c r="AA139" s="10">
        <v>0</v>
      </c>
      <c r="AB139" s="9">
        <v>33.46</v>
      </c>
      <c r="AC139" s="9">
        <f t="shared" si="3"/>
        <v>3</v>
      </c>
      <c r="AD139" s="9">
        <v>0.5</v>
      </c>
      <c r="AE139" s="9">
        <v>0.05</v>
      </c>
      <c r="AF139" s="9">
        <v>1.25E-3</v>
      </c>
      <c r="AG139" s="9">
        <v>133.30000000000001</v>
      </c>
      <c r="AH139" s="9">
        <v>0.66700000000000004</v>
      </c>
      <c r="AI139" s="13">
        <v>6</v>
      </c>
      <c r="AJ139" s="9">
        <f t="shared" si="4"/>
        <v>0</v>
      </c>
      <c r="AK139" s="9">
        <v>3</v>
      </c>
      <c r="AL139" s="9">
        <v>22</v>
      </c>
      <c r="AM139" s="9">
        <v>10.77</v>
      </c>
      <c r="AN139" s="15">
        <v>0.5</v>
      </c>
      <c r="AO139" s="9">
        <f t="shared" si="41"/>
        <v>0.9</v>
      </c>
      <c r="AP139" s="9">
        <v>8.5</v>
      </c>
      <c r="AQ139" s="9">
        <f t="shared" si="45"/>
        <v>0.3</v>
      </c>
      <c r="AR139" s="9">
        <v>3.5</v>
      </c>
      <c r="AS139" s="9">
        <v>0.6</v>
      </c>
      <c r="AT139" s="9">
        <v>0.4</v>
      </c>
      <c r="AU139" s="9">
        <v>42</v>
      </c>
      <c r="AV139" s="15">
        <v>0.8</v>
      </c>
      <c r="AW139" s="12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22</v>
      </c>
      <c r="BD139" s="9">
        <v>79</v>
      </c>
      <c r="BE139" s="9">
        <v>7.5</v>
      </c>
      <c r="BF139" s="9">
        <f t="shared" si="8"/>
        <v>0.4</v>
      </c>
      <c r="BG139" s="9">
        <f t="shared" si="32"/>
        <v>2</v>
      </c>
      <c r="BH139" s="9">
        <v>6</v>
      </c>
      <c r="BI139" s="9">
        <f t="shared" si="10"/>
        <v>0</v>
      </c>
      <c r="BJ139" s="9">
        <v>2</v>
      </c>
      <c r="BK139" s="9">
        <v>0</v>
      </c>
      <c r="BL139" s="15">
        <v>7</v>
      </c>
      <c r="BM139" s="14">
        <v>0.33</v>
      </c>
      <c r="BN139" s="8">
        <v>0</v>
      </c>
      <c r="BO139" s="14">
        <v>0</v>
      </c>
      <c r="BP139" s="14">
        <v>0</v>
      </c>
      <c r="BQ139" s="14">
        <f t="shared" si="46"/>
        <v>0.3</v>
      </c>
      <c r="BR139" s="15">
        <v>0</v>
      </c>
      <c r="BS139" s="15">
        <f t="shared" si="29"/>
        <v>6.7000000000000004E-2</v>
      </c>
      <c r="BT139" s="14">
        <v>0</v>
      </c>
      <c r="BU139" s="14">
        <v>0</v>
      </c>
      <c r="BV139" s="15">
        <v>146.5</v>
      </c>
      <c r="BW139" s="15">
        <v>0.16400000000000001</v>
      </c>
      <c r="BX139" s="15">
        <f t="shared" si="13"/>
        <v>0</v>
      </c>
      <c r="BY139" s="14">
        <f t="shared" si="14"/>
        <v>48.5</v>
      </c>
      <c r="BZ139" s="14">
        <f t="shared" si="15"/>
        <v>0</v>
      </c>
      <c r="CA139" s="14">
        <f t="shared" si="16"/>
        <v>0</v>
      </c>
      <c r="CB139" s="14">
        <f t="shared" si="17"/>
        <v>48.5</v>
      </c>
      <c r="CC139" s="15">
        <f t="shared" si="18"/>
        <v>0.70699999999999996</v>
      </c>
      <c r="CD139" s="14">
        <f t="shared" si="19"/>
        <v>34.29</v>
      </c>
      <c r="CE139" s="14">
        <f t="shared" si="20"/>
        <v>0.94</v>
      </c>
      <c r="CF139" s="14">
        <f t="shared" si="21"/>
        <v>32.229999999999997</v>
      </c>
      <c r="CG139" s="14">
        <f t="shared" si="22"/>
        <v>76</v>
      </c>
    </row>
    <row r="140" spans="1:85" ht="13.2" x14ac:dyDescent="0.25">
      <c r="A140" s="8">
        <v>481896</v>
      </c>
      <c r="B140" s="9" t="s">
        <v>243</v>
      </c>
      <c r="C140" s="9" t="s">
        <v>179</v>
      </c>
      <c r="D140" s="9">
        <v>0</v>
      </c>
      <c r="E140" s="9">
        <v>1</v>
      </c>
      <c r="F140" s="9">
        <v>1</v>
      </c>
      <c r="G140" s="9">
        <v>0</v>
      </c>
      <c r="H140" s="9">
        <v>6</v>
      </c>
      <c r="I140" s="9">
        <v>20</v>
      </c>
      <c r="J140" s="11">
        <f t="shared" si="44"/>
        <v>0</v>
      </c>
      <c r="K140" s="10">
        <v>16</v>
      </c>
      <c r="L140" s="11">
        <v>3.4</v>
      </c>
      <c r="M140" s="11">
        <v>0.1</v>
      </c>
      <c r="N140" s="11" t="s">
        <v>180</v>
      </c>
      <c r="O140" s="11">
        <v>6</v>
      </c>
      <c r="P140" s="9" t="s">
        <v>137</v>
      </c>
      <c r="Q140" s="9">
        <v>1</v>
      </c>
      <c r="R140" s="9">
        <v>33</v>
      </c>
      <c r="S140" s="10">
        <v>0</v>
      </c>
      <c r="T140" s="9">
        <v>14.5</v>
      </c>
      <c r="U140" s="10">
        <f t="shared" si="1"/>
        <v>0.3</v>
      </c>
      <c r="V140" s="9">
        <v>25.2</v>
      </c>
      <c r="W140" s="10">
        <f t="shared" si="43"/>
        <v>0.1</v>
      </c>
      <c r="X140" s="10">
        <v>55</v>
      </c>
      <c r="Y140" s="10">
        <v>40</v>
      </c>
      <c r="Z140" s="10">
        <v>1</v>
      </c>
      <c r="AA140" s="10">
        <v>0</v>
      </c>
      <c r="AB140" s="9">
        <v>17.149999999999999</v>
      </c>
      <c r="AC140" s="9">
        <f t="shared" si="3"/>
        <v>3</v>
      </c>
      <c r="AD140" s="9">
        <v>0.5</v>
      </c>
      <c r="AE140" s="9">
        <v>0.05</v>
      </c>
      <c r="AF140" s="9">
        <v>1.25E-3</v>
      </c>
      <c r="AG140" s="9">
        <v>1.7</v>
      </c>
      <c r="AH140" s="9">
        <v>8.9999999999999993E-3</v>
      </c>
      <c r="AI140" s="13">
        <v>5</v>
      </c>
      <c r="AJ140" s="9">
        <f t="shared" si="4"/>
        <v>0</v>
      </c>
      <c r="AK140" s="9">
        <v>5</v>
      </c>
      <c r="AL140" s="9">
        <v>21</v>
      </c>
      <c r="AM140" s="9">
        <v>6.9</v>
      </c>
      <c r="AN140" s="15">
        <v>0.7</v>
      </c>
      <c r="AO140" s="9">
        <f t="shared" si="41"/>
        <v>0.9</v>
      </c>
      <c r="AP140" s="9">
        <v>8</v>
      </c>
      <c r="AQ140" s="9">
        <f t="shared" si="45"/>
        <v>0.3</v>
      </c>
      <c r="AR140" s="9">
        <v>3.5</v>
      </c>
      <c r="AS140" s="9">
        <v>0.6</v>
      </c>
      <c r="AT140" s="9">
        <v>0.4</v>
      </c>
      <c r="AU140" s="9">
        <v>39</v>
      </c>
      <c r="AV140" s="15">
        <v>0.7</v>
      </c>
      <c r="AW140" s="12">
        <v>35</v>
      </c>
      <c r="AX140" s="9">
        <v>0.4</v>
      </c>
      <c r="AY140" s="9">
        <v>0</v>
      </c>
      <c r="AZ140" s="9">
        <v>0</v>
      </c>
      <c r="BA140" s="9">
        <v>0</v>
      </c>
      <c r="BB140" s="9">
        <v>0</v>
      </c>
      <c r="BC140" s="9">
        <v>21</v>
      </c>
      <c r="BD140" s="9">
        <v>29</v>
      </c>
      <c r="BE140" s="9">
        <v>7.5</v>
      </c>
      <c r="BF140" s="9">
        <f t="shared" si="8"/>
        <v>0.4</v>
      </c>
      <c r="BG140" s="9">
        <f t="shared" si="32"/>
        <v>2</v>
      </c>
      <c r="BH140" s="9">
        <v>6</v>
      </c>
      <c r="BI140" s="9">
        <f t="shared" si="10"/>
        <v>0</v>
      </c>
      <c r="BJ140" s="9">
        <v>2</v>
      </c>
      <c r="BK140" s="9">
        <v>0</v>
      </c>
      <c r="BL140" s="15">
        <v>7</v>
      </c>
      <c r="BM140" s="14">
        <v>0.33</v>
      </c>
      <c r="BN140" s="8">
        <v>0.9</v>
      </c>
      <c r="BO140" s="14">
        <v>0</v>
      </c>
      <c r="BP140" s="14">
        <v>0</v>
      </c>
      <c r="BQ140" s="14">
        <f t="shared" si="46"/>
        <v>0.4</v>
      </c>
      <c r="BR140" s="15">
        <v>0</v>
      </c>
      <c r="BS140" s="15">
        <f t="shared" si="29"/>
        <v>1.597</v>
      </c>
      <c r="BT140" s="14">
        <v>0</v>
      </c>
      <c r="BU140" s="14">
        <v>0</v>
      </c>
      <c r="BV140" s="15">
        <v>138.5</v>
      </c>
      <c r="BW140" s="15">
        <v>0.155</v>
      </c>
      <c r="BX140" s="15">
        <f t="shared" si="13"/>
        <v>0</v>
      </c>
      <c r="BY140" s="14">
        <f t="shared" si="14"/>
        <v>52.5</v>
      </c>
      <c r="BZ140" s="14">
        <f t="shared" si="15"/>
        <v>10</v>
      </c>
      <c r="CA140" s="14">
        <f t="shared" si="16"/>
        <v>0</v>
      </c>
      <c r="CB140" s="14">
        <f t="shared" si="17"/>
        <v>62.5</v>
      </c>
      <c r="CC140" s="15">
        <f t="shared" si="18"/>
        <v>0.86</v>
      </c>
      <c r="CD140" s="14">
        <f t="shared" si="19"/>
        <v>53.75</v>
      </c>
      <c r="CE140" s="14">
        <f t="shared" si="20"/>
        <v>0.89500000000000002</v>
      </c>
      <c r="CF140" s="14">
        <f t="shared" si="21"/>
        <v>48.11</v>
      </c>
      <c r="CG140" s="14">
        <f t="shared" si="22"/>
        <v>31</v>
      </c>
    </row>
    <row r="141" spans="1:85" ht="13.2" x14ac:dyDescent="0.25">
      <c r="A141" s="8">
        <v>1064812</v>
      </c>
      <c r="B141" s="9" t="s">
        <v>244</v>
      </c>
      <c r="C141" s="9" t="s">
        <v>179</v>
      </c>
      <c r="D141" s="9">
        <v>0</v>
      </c>
      <c r="E141" s="9">
        <v>1</v>
      </c>
      <c r="F141" s="9">
        <v>0</v>
      </c>
      <c r="G141" s="9">
        <v>0</v>
      </c>
      <c r="H141" s="9">
        <v>9</v>
      </c>
      <c r="I141" s="9">
        <v>14</v>
      </c>
      <c r="J141" s="11">
        <f t="shared" si="44"/>
        <v>0</v>
      </c>
      <c r="K141" s="10">
        <v>0</v>
      </c>
      <c r="L141" s="11">
        <v>0</v>
      </c>
      <c r="M141" s="11">
        <v>0.1</v>
      </c>
      <c r="N141" s="11" t="s">
        <v>180</v>
      </c>
      <c r="O141" s="11">
        <v>6</v>
      </c>
      <c r="P141" s="9" t="s">
        <v>88</v>
      </c>
      <c r="Q141" s="9">
        <v>0</v>
      </c>
      <c r="R141" s="9">
        <v>31</v>
      </c>
      <c r="S141" s="10">
        <v>0</v>
      </c>
      <c r="T141" s="9">
        <v>0</v>
      </c>
      <c r="U141" s="10">
        <f t="shared" si="1"/>
        <v>0</v>
      </c>
      <c r="V141" s="9">
        <v>17</v>
      </c>
      <c r="W141" s="10">
        <f t="shared" si="43"/>
        <v>0</v>
      </c>
      <c r="X141" s="10">
        <v>0</v>
      </c>
      <c r="Y141" s="10">
        <v>0</v>
      </c>
      <c r="Z141" s="10">
        <v>0</v>
      </c>
      <c r="AA141" s="10">
        <v>0</v>
      </c>
      <c r="AB141" s="9">
        <v>15.61</v>
      </c>
      <c r="AC141" s="9">
        <f t="shared" si="3"/>
        <v>3</v>
      </c>
      <c r="AD141" s="9">
        <v>0.5</v>
      </c>
      <c r="AE141" s="9">
        <v>0.1</v>
      </c>
      <c r="AF141" s="9">
        <v>2.5000000000000001E-3</v>
      </c>
      <c r="AG141" s="9">
        <v>40</v>
      </c>
      <c r="AH141" s="9">
        <v>0.2</v>
      </c>
      <c r="AI141" s="13">
        <v>7</v>
      </c>
      <c r="AJ141" s="9">
        <f t="shared" si="4"/>
        <v>0</v>
      </c>
      <c r="AK141" s="9">
        <v>6</v>
      </c>
      <c r="AL141" s="9">
        <v>17</v>
      </c>
      <c r="AM141" s="9">
        <v>8.8800000000000008</v>
      </c>
      <c r="AN141" s="15">
        <v>0.6</v>
      </c>
      <c r="AO141" s="9">
        <f t="shared" si="41"/>
        <v>1</v>
      </c>
      <c r="AP141" s="9">
        <v>9</v>
      </c>
      <c r="AQ141" s="9">
        <f t="shared" si="45"/>
        <v>0.2</v>
      </c>
      <c r="AR141" s="9">
        <v>3</v>
      </c>
      <c r="AS141" s="9">
        <v>0.5</v>
      </c>
      <c r="AT141" s="9">
        <v>0.33</v>
      </c>
      <c r="AU141" s="9">
        <v>32</v>
      </c>
      <c r="AV141" s="15">
        <v>0.5</v>
      </c>
      <c r="AW141" s="12"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17</v>
      </c>
      <c r="BD141" s="9">
        <v>25.17</v>
      </c>
      <c r="BE141" s="9">
        <v>7.5</v>
      </c>
      <c r="BF141" s="9">
        <f t="shared" si="8"/>
        <v>0.4</v>
      </c>
      <c r="BG141" s="9">
        <f t="shared" si="32"/>
        <v>2</v>
      </c>
      <c r="BH141" s="9">
        <v>6</v>
      </c>
      <c r="BI141" s="9">
        <f t="shared" si="10"/>
        <v>0</v>
      </c>
      <c r="BJ141" s="9">
        <v>2</v>
      </c>
      <c r="BK141" s="9">
        <v>0.43</v>
      </c>
      <c r="BL141" s="15">
        <v>8</v>
      </c>
      <c r="BM141" s="14">
        <v>0.67</v>
      </c>
      <c r="BN141" s="8">
        <v>0</v>
      </c>
      <c r="BO141" s="14">
        <v>0</v>
      </c>
      <c r="BP141" s="14">
        <v>0</v>
      </c>
      <c r="BQ141" s="14">
        <f t="shared" si="46"/>
        <v>0.3</v>
      </c>
      <c r="BR141" s="15">
        <v>0</v>
      </c>
      <c r="BS141" s="15">
        <f t="shared" si="29"/>
        <v>6.7000000000000004E-2</v>
      </c>
      <c r="BT141" s="14">
        <v>0</v>
      </c>
      <c r="BU141" s="14">
        <v>0</v>
      </c>
      <c r="BV141" s="15">
        <v>101.5</v>
      </c>
      <c r="BW141" s="15">
        <v>0.115</v>
      </c>
      <c r="BX141" s="15">
        <f t="shared" si="13"/>
        <v>0</v>
      </c>
      <c r="BY141" s="14">
        <f t="shared" si="14"/>
        <v>43.900000000000006</v>
      </c>
      <c r="BZ141" s="14">
        <f t="shared" si="15"/>
        <v>0</v>
      </c>
      <c r="CA141" s="14">
        <f t="shared" si="16"/>
        <v>0</v>
      </c>
      <c r="CB141" s="14">
        <f t="shared" si="17"/>
        <v>43.900000000000006</v>
      </c>
      <c r="CC141" s="15">
        <f t="shared" si="18"/>
        <v>0.70699999999999996</v>
      </c>
      <c r="CD141" s="14">
        <f t="shared" si="19"/>
        <v>31.04</v>
      </c>
      <c r="CE141" s="14">
        <f t="shared" si="20"/>
        <v>0.96</v>
      </c>
      <c r="CF141" s="14">
        <f t="shared" si="21"/>
        <v>29.8</v>
      </c>
      <c r="CG141" s="14">
        <f t="shared" si="22"/>
        <v>100</v>
      </c>
    </row>
    <row r="142" spans="1:85" ht="13.2" x14ac:dyDescent="0.25">
      <c r="A142" s="8">
        <v>1159613</v>
      </c>
      <c r="B142" s="9" t="s">
        <v>245</v>
      </c>
      <c r="C142" s="9" t="s">
        <v>179</v>
      </c>
      <c r="D142" s="9">
        <v>0</v>
      </c>
      <c r="E142" s="9">
        <v>1</v>
      </c>
      <c r="F142" s="9">
        <v>0</v>
      </c>
      <c r="G142" s="9">
        <v>0</v>
      </c>
      <c r="H142" s="9">
        <v>5</v>
      </c>
      <c r="I142" s="9">
        <v>10</v>
      </c>
      <c r="J142" s="11">
        <f t="shared" si="44"/>
        <v>0</v>
      </c>
      <c r="K142" s="10">
        <v>0</v>
      </c>
      <c r="L142" s="11">
        <v>0</v>
      </c>
      <c r="M142" s="11">
        <v>0.1</v>
      </c>
      <c r="N142" s="11" t="s">
        <v>180</v>
      </c>
      <c r="O142" s="11">
        <v>6</v>
      </c>
      <c r="P142" s="9" t="s">
        <v>242</v>
      </c>
      <c r="Q142" s="9">
        <v>1</v>
      </c>
      <c r="R142" s="9">
        <v>29</v>
      </c>
      <c r="S142" s="10">
        <v>0</v>
      </c>
      <c r="T142" s="9">
        <v>0</v>
      </c>
      <c r="U142" s="10">
        <f t="shared" si="1"/>
        <v>0</v>
      </c>
      <c r="V142" s="9">
        <v>20.399999999999999</v>
      </c>
      <c r="W142" s="10">
        <f t="shared" si="43"/>
        <v>0</v>
      </c>
      <c r="X142" s="10">
        <v>0</v>
      </c>
      <c r="Y142" s="10">
        <v>0</v>
      </c>
      <c r="Z142" s="10">
        <v>0</v>
      </c>
      <c r="AA142" s="10">
        <v>0</v>
      </c>
      <c r="AB142" s="9">
        <v>19.96</v>
      </c>
      <c r="AC142" s="9">
        <f t="shared" si="3"/>
        <v>3</v>
      </c>
      <c r="AD142" s="9">
        <v>0.5</v>
      </c>
      <c r="AE142" s="9">
        <v>0.15</v>
      </c>
      <c r="AF142" s="9">
        <v>3.7499999999999999E-3</v>
      </c>
      <c r="AG142" s="9">
        <v>76.900000000000006</v>
      </c>
      <c r="AH142" s="9">
        <v>0.38500000000000001</v>
      </c>
      <c r="AI142" s="13">
        <v>7</v>
      </c>
      <c r="AJ142" s="9">
        <f t="shared" si="4"/>
        <v>0</v>
      </c>
      <c r="AK142" s="9">
        <v>5</v>
      </c>
      <c r="AL142" s="9">
        <v>17</v>
      </c>
      <c r="AM142" s="9">
        <v>10.71</v>
      </c>
      <c r="AN142" s="15">
        <v>0.4</v>
      </c>
      <c r="AO142" s="9">
        <f t="shared" si="41"/>
        <v>0.9</v>
      </c>
      <c r="AP142" s="9">
        <v>8.5</v>
      </c>
      <c r="AQ142" s="9">
        <f t="shared" si="45"/>
        <v>0.3</v>
      </c>
      <c r="AR142" s="9">
        <v>3.5</v>
      </c>
      <c r="AS142" s="9">
        <v>0.6</v>
      </c>
      <c r="AT142" s="9">
        <v>0.4</v>
      </c>
      <c r="AU142" s="9">
        <v>27</v>
      </c>
      <c r="AV142" s="15">
        <v>0.3</v>
      </c>
      <c r="AW142" s="12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17</v>
      </c>
      <c r="BD142" s="9">
        <v>36.4</v>
      </c>
      <c r="BE142" s="9">
        <v>7</v>
      </c>
      <c r="BF142" s="9">
        <f t="shared" si="8"/>
        <v>0.3</v>
      </c>
      <c r="BG142" s="9">
        <f t="shared" si="32"/>
        <v>2</v>
      </c>
      <c r="BH142" s="9">
        <v>6</v>
      </c>
      <c r="BI142" s="9">
        <f t="shared" si="10"/>
        <v>0</v>
      </c>
      <c r="BJ142" s="9">
        <v>5</v>
      </c>
      <c r="BK142" s="9">
        <v>0.71</v>
      </c>
      <c r="BL142" s="15">
        <v>7</v>
      </c>
      <c r="BM142" s="14">
        <v>0.33</v>
      </c>
      <c r="BN142" s="8">
        <v>0</v>
      </c>
      <c r="BO142" s="14">
        <v>0</v>
      </c>
      <c r="BP142" s="14">
        <v>0</v>
      </c>
      <c r="BQ142" s="14">
        <f t="shared" si="46"/>
        <v>0.3</v>
      </c>
      <c r="BR142" s="15">
        <v>0</v>
      </c>
      <c r="BS142" s="15">
        <f t="shared" si="29"/>
        <v>5.8999999999999997E-2</v>
      </c>
      <c r="BT142" s="14">
        <v>0</v>
      </c>
      <c r="BU142" s="14">
        <v>0</v>
      </c>
      <c r="BV142" s="15">
        <v>106.5</v>
      </c>
      <c r="BW142" s="15">
        <v>0.12</v>
      </c>
      <c r="BX142" s="15">
        <f t="shared" si="13"/>
        <v>0</v>
      </c>
      <c r="BY142" s="14">
        <f t="shared" si="14"/>
        <v>40</v>
      </c>
      <c r="BZ142" s="14">
        <f t="shared" si="15"/>
        <v>0</v>
      </c>
      <c r="CA142" s="14">
        <f t="shared" si="16"/>
        <v>0</v>
      </c>
      <c r="CB142" s="14">
        <f t="shared" si="17"/>
        <v>40</v>
      </c>
      <c r="CC142" s="15">
        <f t="shared" si="18"/>
        <v>0.70599999999999996</v>
      </c>
      <c r="CD142" s="14">
        <f t="shared" si="19"/>
        <v>28.24</v>
      </c>
      <c r="CE142" s="14">
        <f t="shared" si="20"/>
        <v>0.94</v>
      </c>
      <c r="CF142" s="14">
        <f t="shared" si="21"/>
        <v>26.55</v>
      </c>
      <c r="CG142" s="14">
        <f t="shared" si="22"/>
        <v>118</v>
      </c>
    </row>
    <row r="143" spans="1:85" ht="13.2" x14ac:dyDescent="0.25">
      <c r="A143" s="8">
        <v>1175461</v>
      </c>
      <c r="B143" s="9" t="s">
        <v>246</v>
      </c>
      <c r="C143" s="9" t="s">
        <v>179</v>
      </c>
      <c r="D143" s="9">
        <v>0</v>
      </c>
      <c r="E143" s="9">
        <v>1</v>
      </c>
      <c r="F143" s="9">
        <v>0</v>
      </c>
      <c r="G143" s="9">
        <v>0</v>
      </c>
      <c r="H143" s="9">
        <v>10</v>
      </c>
      <c r="I143" s="9">
        <v>20</v>
      </c>
      <c r="J143" s="11">
        <f t="shared" si="44"/>
        <v>0</v>
      </c>
      <c r="K143" s="10">
        <v>0</v>
      </c>
      <c r="L143" s="11">
        <v>0</v>
      </c>
      <c r="M143" s="11">
        <v>0.1</v>
      </c>
      <c r="N143" s="11" t="s">
        <v>180</v>
      </c>
      <c r="O143" s="11">
        <v>6</v>
      </c>
      <c r="P143" s="9" t="s">
        <v>88</v>
      </c>
      <c r="Q143" s="9">
        <v>0</v>
      </c>
      <c r="R143" s="9">
        <v>23</v>
      </c>
      <c r="S143" s="10">
        <v>0</v>
      </c>
      <c r="T143" s="9">
        <v>0</v>
      </c>
      <c r="U143" s="10">
        <f t="shared" si="1"/>
        <v>0</v>
      </c>
      <c r="V143" s="9">
        <v>24.33</v>
      </c>
      <c r="W143" s="10">
        <f t="shared" si="43"/>
        <v>0.1</v>
      </c>
      <c r="X143" s="10">
        <v>0</v>
      </c>
      <c r="Y143" s="10">
        <v>0</v>
      </c>
      <c r="Z143" s="10">
        <v>0</v>
      </c>
      <c r="AA143" s="10">
        <v>0</v>
      </c>
      <c r="AB143" s="9">
        <v>24.88</v>
      </c>
      <c r="AC143" s="9">
        <f t="shared" si="3"/>
        <v>3</v>
      </c>
      <c r="AD143" s="9">
        <v>0.5</v>
      </c>
      <c r="AE143" s="9">
        <v>0.1</v>
      </c>
      <c r="AF143" s="9">
        <v>2.5000000000000001E-3</v>
      </c>
      <c r="AG143" s="9">
        <v>85.7</v>
      </c>
      <c r="AH143" s="9">
        <v>0.42899999999999999</v>
      </c>
      <c r="AI143" s="13">
        <v>6</v>
      </c>
      <c r="AJ143" s="9">
        <f t="shared" si="4"/>
        <v>0</v>
      </c>
      <c r="AK143" s="9">
        <v>6</v>
      </c>
      <c r="AL143" s="9">
        <v>24.2</v>
      </c>
      <c r="AM143" s="9">
        <v>12.49</v>
      </c>
      <c r="AN143" s="15">
        <v>0.4</v>
      </c>
      <c r="AO143" s="9">
        <f t="shared" si="41"/>
        <v>1</v>
      </c>
      <c r="AP143" s="9">
        <v>9</v>
      </c>
      <c r="AQ143" s="9">
        <f t="shared" si="45"/>
        <v>0.3</v>
      </c>
      <c r="AR143" s="9">
        <v>4</v>
      </c>
      <c r="AS143" s="9">
        <v>0.6</v>
      </c>
      <c r="AT143" s="9">
        <v>0.4</v>
      </c>
      <c r="AU143" s="9">
        <v>34</v>
      </c>
      <c r="AV143" s="15">
        <v>0.5</v>
      </c>
      <c r="AW143" s="12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24.2</v>
      </c>
      <c r="BD143" s="9">
        <v>50.67</v>
      </c>
      <c r="BE143" s="9">
        <v>7</v>
      </c>
      <c r="BF143" s="9">
        <f t="shared" si="8"/>
        <v>0.3</v>
      </c>
      <c r="BG143" s="9">
        <f t="shared" si="32"/>
        <v>2</v>
      </c>
      <c r="BH143" s="9">
        <v>7</v>
      </c>
      <c r="BI143" s="9">
        <f t="shared" si="10"/>
        <v>0.3</v>
      </c>
      <c r="BJ143" s="9">
        <v>8</v>
      </c>
      <c r="BK143" s="9">
        <v>1</v>
      </c>
      <c r="BL143" s="15">
        <v>7</v>
      </c>
      <c r="BM143" s="14">
        <v>0.33</v>
      </c>
      <c r="BN143" s="8">
        <v>0</v>
      </c>
      <c r="BO143" s="14">
        <v>0</v>
      </c>
      <c r="BP143" s="14">
        <v>0</v>
      </c>
      <c r="BQ143" s="14">
        <f t="shared" si="46"/>
        <v>0.3</v>
      </c>
      <c r="BR143" s="15">
        <v>0</v>
      </c>
      <c r="BS143" s="15">
        <f t="shared" si="29"/>
        <v>5.8999999999999997E-2</v>
      </c>
      <c r="BT143" s="14">
        <v>0</v>
      </c>
      <c r="BU143" s="14">
        <v>0</v>
      </c>
      <c r="BV143" s="15">
        <v>164.1</v>
      </c>
      <c r="BW143" s="15">
        <v>0.183</v>
      </c>
      <c r="BX143" s="15">
        <f t="shared" si="13"/>
        <v>0</v>
      </c>
      <c r="BY143" s="14">
        <f t="shared" si="14"/>
        <v>43.999999999999993</v>
      </c>
      <c r="BZ143" s="14">
        <f t="shared" si="15"/>
        <v>0</v>
      </c>
      <c r="CA143" s="14">
        <f t="shared" si="16"/>
        <v>0</v>
      </c>
      <c r="CB143" s="14">
        <f t="shared" si="17"/>
        <v>43.999999999999993</v>
      </c>
      <c r="CC143" s="15">
        <f t="shared" si="18"/>
        <v>0.70599999999999996</v>
      </c>
      <c r="CD143" s="14">
        <f t="shared" si="19"/>
        <v>31.06</v>
      </c>
      <c r="CE143" s="14">
        <f t="shared" si="20"/>
        <v>0.94</v>
      </c>
      <c r="CF143" s="14">
        <f t="shared" si="21"/>
        <v>29.2</v>
      </c>
      <c r="CG143" s="14">
        <f t="shared" si="22"/>
        <v>108</v>
      </c>
    </row>
    <row r="144" spans="1:85" ht="13.2" x14ac:dyDescent="0.25">
      <c r="A144" s="8">
        <v>326016</v>
      </c>
      <c r="B144" s="9" t="s">
        <v>247</v>
      </c>
      <c r="C144" s="9" t="s">
        <v>179</v>
      </c>
      <c r="D144" s="9">
        <v>0</v>
      </c>
      <c r="E144" s="9">
        <v>1</v>
      </c>
      <c r="F144" s="9">
        <v>0</v>
      </c>
      <c r="G144" s="9">
        <v>0</v>
      </c>
      <c r="H144" s="9">
        <v>5</v>
      </c>
      <c r="I144" s="9">
        <v>18</v>
      </c>
      <c r="J144" s="11">
        <f t="shared" si="44"/>
        <v>0</v>
      </c>
      <c r="K144" s="10">
        <v>0</v>
      </c>
      <c r="L144" s="11">
        <v>0</v>
      </c>
      <c r="M144" s="11">
        <v>0.1</v>
      </c>
      <c r="N144" s="11" t="s">
        <v>180</v>
      </c>
      <c r="O144" s="11">
        <v>6</v>
      </c>
      <c r="P144" s="9" t="s">
        <v>137</v>
      </c>
      <c r="Q144" s="9">
        <v>1</v>
      </c>
      <c r="R144" s="9">
        <v>27</v>
      </c>
      <c r="S144" s="10">
        <v>0</v>
      </c>
      <c r="T144" s="9">
        <v>20</v>
      </c>
      <c r="U144" s="10">
        <f t="shared" si="1"/>
        <v>0.4</v>
      </c>
      <c r="V144" s="9">
        <v>11</v>
      </c>
      <c r="W144" s="10">
        <f t="shared" si="43"/>
        <v>0</v>
      </c>
      <c r="X144" s="10">
        <v>0</v>
      </c>
      <c r="Y144" s="10">
        <v>0</v>
      </c>
      <c r="Z144" s="10">
        <v>0</v>
      </c>
      <c r="AA144" s="10">
        <v>0</v>
      </c>
      <c r="AB144" s="9">
        <v>11.46</v>
      </c>
      <c r="AC144" s="9">
        <f t="shared" si="3"/>
        <v>3</v>
      </c>
      <c r="AD144" s="9">
        <v>0.5</v>
      </c>
      <c r="AE144" s="9">
        <v>0.15</v>
      </c>
      <c r="AF144" s="9">
        <v>3.7499999999999999E-3</v>
      </c>
      <c r="AG144" s="9">
        <v>2.5</v>
      </c>
      <c r="AH144" s="9">
        <v>1.2999999999999999E-2</v>
      </c>
      <c r="AI144" s="13">
        <v>6</v>
      </c>
      <c r="AJ144" s="9">
        <f t="shared" si="4"/>
        <v>0</v>
      </c>
      <c r="AK144" s="9">
        <v>6</v>
      </c>
      <c r="AL144" s="9">
        <v>11</v>
      </c>
      <c r="AM144" s="9">
        <v>8.64</v>
      </c>
      <c r="AN144" s="15">
        <v>0.5</v>
      </c>
      <c r="AO144" s="9">
        <f t="shared" si="41"/>
        <v>0.9</v>
      </c>
      <c r="AP144" s="9">
        <v>8.5</v>
      </c>
      <c r="AQ144" s="9">
        <f t="shared" si="45"/>
        <v>0.2</v>
      </c>
      <c r="AR144" s="9">
        <v>3</v>
      </c>
      <c r="AS144" s="9">
        <v>0.5</v>
      </c>
      <c r="AT144" s="9">
        <v>0.33</v>
      </c>
      <c r="AU144" s="9">
        <v>33</v>
      </c>
      <c r="AV144" s="15">
        <v>0.5</v>
      </c>
      <c r="AW144" s="12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0</v>
      </c>
      <c r="BC144" s="9">
        <v>11</v>
      </c>
      <c r="BD144" s="9">
        <v>15.83</v>
      </c>
      <c r="BE144" s="9">
        <v>7.5</v>
      </c>
      <c r="BF144" s="9">
        <f t="shared" si="8"/>
        <v>0.4</v>
      </c>
      <c r="BG144" s="9">
        <f t="shared" si="32"/>
        <v>2</v>
      </c>
      <c r="BH144" s="9">
        <v>6</v>
      </c>
      <c r="BI144" s="9">
        <f t="shared" si="10"/>
        <v>0</v>
      </c>
      <c r="BJ144" s="9">
        <v>9</v>
      </c>
      <c r="BK144" s="9">
        <v>0.86</v>
      </c>
      <c r="BL144" s="15">
        <v>8</v>
      </c>
      <c r="BM144" s="14">
        <v>0.67</v>
      </c>
      <c r="BN144" s="8">
        <v>0</v>
      </c>
      <c r="BO144" s="14">
        <v>0</v>
      </c>
      <c r="BP144" s="14">
        <v>0</v>
      </c>
      <c r="BQ144" s="14">
        <f t="shared" si="46"/>
        <v>0.3</v>
      </c>
      <c r="BR144" s="15">
        <v>0</v>
      </c>
      <c r="BS144" s="15">
        <f t="shared" si="29"/>
        <v>6.7000000000000004E-2</v>
      </c>
      <c r="BT144" s="14">
        <v>0</v>
      </c>
      <c r="BU144" s="14">
        <v>0</v>
      </c>
      <c r="BV144" s="15">
        <v>53.5</v>
      </c>
      <c r="BW144" s="15">
        <v>6.3E-2</v>
      </c>
      <c r="BX144" s="15">
        <f t="shared" si="13"/>
        <v>0</v>
      </c>
      <c r="BY144" s="14">
        <f t="shared" si="14"/>
        <v>41.900000000000006</v>
      </c>
      <c r="BZ144" s="14">
        <f t="shared" si="15"/>
        <v>0</v>
      </c>
      <c r="CA144" s="14">
        <f t="shared" si="16"/>
        <v>0</v>
      </c>
      <c r="CB144" s="14">
        <f t="shared" si="17"/>
        <v>41.900000000000006</v>
      </c>
      <c r="CC144" s="15">
        <f t="shared" si="18"/>
        <v>0.70699999999999996</v>
      </c>
      <c r="CD144" s="14">
        <f t="shared" si="19"/>
        <v>29.62</v>
      </c>
      <c r="CE144" s="14">
        <f t="shared" si="20"/>
        <v>0.96</v>
      </c>
      <c r="CF144" s="14">
        <f t="shared" si="21"/>
        <v>28.44</v>
      </c>
      <c r="CG144" s="14">
        <f t="shared" si="22"/>
        <v>111</v>
      </c>
    </row>
    <row r="145" spans="1:85" ht="13.2" x14ac:dyDescent="0.25">
      <c r="A145" s="8">
        <v>379504</v>
      </c>
      <c r="B145" s="9" t="s">
        <v>248</v>
      </c>
      <c r="C145" s="9" t="s">
        <v>179</v>
      </c>
      <c r="D145" s="9">
        <v>0</v>
      </c>
      <c r="E145" s="9">
        <v>1</v>
      </c>
      <c r="F145" s="9">
        <v>0</v>
      </c>
      <c r="G145" s="9">
        <v>0</v>
      </c>
      <c r="H145" s="9">
        <v>5</v>
      </c>
      <c r="I145" s="9">
        <v>14</v>
      </c>
      <c r="J145" s="11">
        <f t="shared" si="44"/>
        <v>0</v>
      </c>
      <c r="K145" s="10">
        <v>0</v>
      </c>
      <c r="L145" s="11">
        <v>0</v>
      </c>
      <c r="M145" s="11">
        <v>0.1</v>
      </c>
      <c r="N145" s="11" t="s">
        <v>180</v>
      </c>
      <c r="O145" s="11">
        <v>6</v>
      </c>
      <c r="P145" s="9" t="s">
        <v>88</v>
      </c>
      <c r="Q145" s="9">
        <v>0</v>
      </c>
      <c r="R145" s="9">
        <v>25</v>
      </c>
      <c r="S145" s="10">
        <v>0</v>
      </c>
      <c r="T145" s="9">
        <v>0</v>
      </c>
      <c r="U145" s="10">
        <f t="shared" si="1"/>
        <v>0</v>
      </c>
      <c r="V145" s="9">
        <v>18</v>
      </c>
      <c r="W145" s="10">
        <f t="shared" si="43"/>
        <v>0</v>
      </c>
      <c r="X145" s="10">
        <v>0</v>
      </c>
      <c r="Y145" s="10">
        <v>0</v>
      </c>
      <c r="Z145" s="10">
        <v>0</v>
      </c>
      <c r="AA145" s="10">
        <v>0</v>
      </c>
      <c r="AB145" s="9">
        <v>17.739999999999998</v>
      </c>
      <c r="AC145" s="9">
        <f t="shared" si="3"/>
        <v>3</v>
      </c>
      <c r="AD145" s="9">
        <v>0.5</v>
      </c>
      <c r="AE145" s="9">
        <v>0.1</v>
      </c>
      <c r="AF145" s="9">
        <v>2.5000000000000001E-3</v>
      </c>
      <c r="AG145" s="9">
        <v>44.4</v>
      </c>
      <c r="AH145" s="9">
        <v>0.222</v>
      </c>
      <c r="AI145" s="13">
        <v>6</v>
      </c>
      <c r="AJ145" s="9">
        <f t="shared" si="4"/>
        <v>0</v>
      </c>
      <c r="AK145" s="9">
        <v>4</v>
      </c>
      <c r="AL145" s="9">
        <v>12</v>
      </c>
      <c r="AM145" s="9">
        <v>10.17</v>
      </c>
      <c r="AN145" s="15">
        <v>0.3</v>
      </c>
      <c r="AO145" s="9">
        <f t="shared" si="41"/>
        <v>0.9</v>
      </c>
      <c r="AP145" s="9">
        <v>8.5</v>
      </c>
      <c r="AQ145" s="9">
        <f t="shared" si="45"/>
        <v>0.3</v>
      </c>
      <c r="AR145" s="9">
        <v>3.5</v>
      </c>
      <c r="AS145" s="9">
        <v>0.5</v>
      </c>
      <c r="AT145" s="9">
        <v>0.33</v>
      </c>
      <c r="AU145" s="9">
        <v>25</v>
      </c>
      <c r="AV145" s="15">
        <v>0.3</v>
      </c>
      <c r="AW145" s="12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12</v>
      </c>
      <c r="BD145" s="9">
        <v>30.5</v>
      </c>
      <c r="BE145" s="9">
        <v>7</v>
      </c>
      <c r="BF145" s="9">
        <f t="shared" si="8"/>
        <v>0.3</v>
      </c>
      <c r="BG145" s="9">
        <f t="shared" si="32"/>
        <v>2</v>
      </c>
      <c r="BH145" s="9">
        <v>6</v>
      </c>
      <c r="BI145" s="9">
        <f t="shared" si="10"/>
        <v>0</v>
      </c>
      <c r="BJ145" s="9">
        <v>8</v>
      </c>
      <c r="BK145" s="9">
        <v>1</v>
      </c>
      <c r="BL145" s="15">
        <v>7</v>
      </c>
      <c r="BM145" s="14">
        <v>0.33</v>
      </c>
      <c r="BN145" s="8">
        <v>0</v>
      </c>
      <c r="BO145" s="14">
        <v>0</v>
      </c>
      <c r="BP145" s="14">
        <v>0</v>
      </c>
      <c r="BQ145" s="14">
        <f t="shared" si="46"/>
        <v>0.2</v>
      </c>
      <c r="BR145" s="15">
        <v>0</v>
      </c>
      <c r="BS145" s="15">
        <f t="shared" si="29"/>
        <v>5.8999999999999997E-2</v>
      </c>
      <c r="BT145" s="14">
        <v>0</v>
      </c>
      <c r="BU145" s="14">
        <v>0</v>
      </c>
      <c r="BV145" s="15">
        <v>66.5</v>
      </c>
      <c r="BW145" s="15">
        <v>7.6999999999999999E-2</v>
      </c>
      <c r="BX145" s="15">
        <f t="shared" si="13"/>
        <v>0</v>
      </c>
      <c r="BY145" s="14">
        <f t="shared" si="14"/>
        <v>33.4</v>
      </c>
      <c r="BZ145" s="14">
        <f t="shared" si="15"/>
        <v>0</v>
      </c>
      <c r="CA145" s="14">
        <f t="shared" si="16"/>
        <v>0</v>
      </c>
      <c r="CB145" s="14">
        <f t="shared" si="17"/>
        <v>33.4</v>
      </c>
      <c r="CC145" s="15">
        <f t="shared" si="18"/>
        <v>0.70599999999999996</v>
      </c>
      <c r="CD145" s="14">
        <f t="shared" si="19"/>
        <v>23.58</v>
      </c>
      <c r="CE145" s="14">
        <f t="shared" si="20"/>
        <v>0.94</v>
      </c>
      <c r="CF145" s="14">
        <f t="shared" si="21"/>
        <v>22.17</v>
      </c>
      <c r="CG145" s="14">
        <f t="shared" si="22"/>
        <v>144</v>
      </c>
    </row>
    <row r="146" spans="1:85" ht="13.2" x14ac:dyDescent="0.25">
      <c r="A146" s="8">
        <v>390484</v>
      </c>
      <c r="B146" s="9" t="s">
        <v>249</v>
      </c>
      <c r="C146" s="9" t="s">
        <v>179</v>
      </c>
      <c r="D146" s="9">
        <v>0</v>
      </c>
      <c r="E146" s="9">
        <v>1</v>
      </c>
      <c r="F146" s="9">
        <v>0</v>
      </c>
      <c r="G146" s="9">
        <v>0</v>
      </c>
      <c r="H146" s="9">
        <v>6</v>
      </c>
      <c r="I146" s="9">
        <v>10</v>
      </c>
      <c r="J146" s="11">
        <f t="shared" si="44"/>
        <v>0</v>
      </c>
      <c r="K146" s="10">
        <v>0</v>
      </c>
      <c r="L146" s="11">
        <v>0</v>
      </c>
      <c r="M146" s="11">
        <v>0.1</v>
      </c>
      <c r="N146" s="11" t="s">
        <v>180</v>
      </c>
      <c r="O146" s="11">
        <v>6</v>
      </c>
      <c r="P146" s="9" t="s">
        <v>229</v>
      </c>
      <c r="Q146" s="9">
        <v>1</v>
      </c>
      <c r="R146" s="9">
        <v>38</v>
      </c>
      <c r="S146" s="10">
        <v>0</v>
      </c>
      <c r="T146" s="9">
        <v>17</v>
      </c>
      <c r="U146" s="10">
        <f t="shared" si="1"/>
        <v>0.3</v>
      </c>
      <c r="V146" s="9">
        <v>37</v>
      </c>
      <c r="W146" s="10">
        <f t="shared" si="43"/>
        <v>0.1</v>
      </c>
      <c r="X146" s="10">
        <v>0</v>
      </c>
      <c r="Y146" s="10">
        <v>0</v>
      </c>
      <c r="Z146" s="10">
        <v>0</v>
      </c>
      <c r="AA146" s="10">
        <v>0</v>
      </c>
      <c r="AB146" s="9">
        <v>26.12</v>
      </c>
      <c r="AC146" s="9">
        <f t="shared" si="3"/>
        <v>3</v>
      </c>
      <c r="AD146" s="9">
        <v>0.5</v>
      </c>
      <c r="AE146" s="9">
        <v>0.05</v>
      </c>
      <c r="AF146" s="9">
        <v>1.25E-3</v>
      </c>
      <c r="AG146" s="9">
        <v>10</v>
      </c>
      <c r="AH146" s="9">
        <v>0.05</v>
      </c>
      <c r="AI146" s="13">
        <v>5</v>
      </c>
      <c r="AJ146" s="9">
        <f t="shared" si="4"/>
        <v>0</v>
      </c>
      <c r="AK146" s="9">
        <v>2</v>
      </c>
      <c r="AL146" s="9">
        <v>12.2</v>
      </c>
      <c r="AM146" s="9">
        <v>8.84</v>
      </c>
      <c r="AN146" s="15">
        <v>0.6</v>
      </c>
      <c r="AO146" s="9">
        <f t="shared" si="41"/>
        <v>1</v>
      </c>
      <c r="AP146" s="9">
        <v>9</v>
      </c>
      <c r="AQ146" s="9">
        <f t="shared" si="45"/>
        <v>0.3</v>
      </c>
      <c r="AR146" s="9">
        <v>3.5</v>
      </c>
      <c r="AS146" s="9">
        <v>0.5</v>
      </c>
      <c r="AT146" s="9">
        <v>0.33</v>
      </c>
      <c r="AU146" s="9">
        <v>32</v>
      </c>
      <c r="AV146" s="15">
        <v>0.5</v>
      </c>
      <c r="AW146" s="12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12.2</v>
      </c>
      <c r="BD146" s="9">
        <v>54.5</v>
      </c>
      <c r="BE146" s="9">
        <v>7.5</v>
      </c>
      <c r="BF146" s="9">
        <f t="shared" si="8"/>
        <v>0.4</v>
      </c>
      <c r="BG146" s="9">
        <f t="shared" si="32"/>
        <v>2</v>
      </c>
      <c r="BH146" s="9">
        <v>6</v>
      </c>
      <c r="BI146" s="9">
        <f t="shared" si="10"/>
        <v>0</v>
      </c>
      <c r="BJ146" s="9">
        <v>9</v>
      </c>
      <c r="BK146" s="9">
        <v>0.71</v>
      </c>
      <c r="BL146" s="15">
        <v>7</v>
      </c>
      <c r="BM146" s="14">
        <v>0.33</v>
      </c>
      <c r="BN146" s="8">
        <v>0</v>
      </c>
      <c r="BO146" s="14">
        <v>0</v>
      </c>
      <c r="BP146" s="14">
        <v>0</v>
      </c>
      <c r="BQ146" s="14">
        <f t="shared" si="46"/>
        <v>0.3</v>
      </c>
      <c r="BR146" s="15">
        <v>0</v>
      </c>
      <c r="BS146" s="15">
        <f t="shared" si="29"/>
        <v>6.7000000000000004E-2</v>
      </c>
      <c r="BT146" s="14">
        <v>0</v>
      </c>
      <c r="BU146" s="14">
        <v>0</v>
      </c>
      <c r="BV146" s="15">
        <v>68.099999999999994</v>
      </c>
      <c r="BW146" s="15">
        <v>7.9000000000000001E-2</v>
      </c>
      <c r="BX146" s="15">
        <f t="shared" si="13"/>
        <v>0</v>
      </c>
      <c r="BY146" s="14">
        <f t="shared" si="14"/>
        <v>43.900000000000006</v>
      </c>
      <c r="BZ146" s="14">
        <f t="shared" si="15"/>
        <v>0</v>
      </c>
      <c r="CA146" s="14">
        <f t="shared" si="16"/>
        <v>0</v>
      </c>
      <c r="CB146" s="14">
        <f t="shared" si="17"/>
        <v>43.900000000000006</v>
      </c>
      <c r="CC146" s="15">
        <f t="shared" si="18"/>
        <v>0.70699999999999996</v>
      </c>
      <c r="CD146" s="14">
        <f t="shared" si="19"/>
        <v>31.04</v>
      </c>
      <c r="CE146" s="14">
        <f t="shared" si="20"/>
        <v>0.94</v>
      </c>
      <c r="CF146" s="14">
        <f t="shared" si="21"/>
        <v>29.18</v>
      </c>
      <c r="CG146" s="14">
        <f t="shared" si="22"/>
        <v>109</v>
      </c>
    </row>
    <row r="147" spans="1:85" ht="13.2" x14ac:dyDescent="0.25">
      <c r="A147" s="8">
        <v>696401</v>
      </c>
      <c r="B147" s="9" t="s">
        <v>250</v>
      </c>
      <c r="C147" s="9" t="s">
        <v>179</v>
      </c>
      <c r="D147" s="9">
        <v>0</v>
      </c>
      <c r="E147" s="9">
        <v>1</v>
      </c>
      <c r="F147" s="9">
        <v>0</v>
      </c>
      <c r="G147" s="9">
        <v>0</v>
      </c>
      <c r="H147" s="9">
        <v>5</v>
      </c>
      <c r="I147" s="9">
        <v>14</v>
      </c>
      <c r="J147" s="11">
        <f t="shared" si="44"/>
        <v>0</v>
      </c>
      <c r="K147" s="10">
        <v>0</v>
      </c>
      <c r="L147" s="11">
        <v>0</v>
      </c>
      <c r="M147" s="11">
        <v>0.1</v>
      </c>
      <c r="N147" s="11" t="s">
        <v>180</v>
      </c>
      <c r="O147" s="11">
        <v>6</v>
      </c>
      <c r="P147" s="9" t="s">
        <v>103</v>
      </c>
      <c r="Q147" s="9">
        <v>1</v>
      </c>
      <c r="R147" s="9">
        <v>23</v>
      </c>
      <c r="S147" s="10">
        <v>0</v>
      </c>
      <c r="T147" s="9">
        <v>0</v>
      </c>
      <c r="U147" s="10">
        <f t="shared" si="1"/>
        <v>0</v>
      </c>
      <c r="V147" s="9">
        <v>24</v>
      </c>
      <c r="W147" s="10">
        <f t="shared" si="43"/>
        <v>0.1</v>
      </c>
      <c r="X147" s="10">
        <v>0</v>
      </c>
      <c r="Y147" s="10">
        <v>0</v>
      </c>
      <c r="Z147" s="10">
        <v>0</v>
      </c>
      <c r="AA147" s="10">
        <v>0</v>
      </c>
      <c r="AB147" s="9">
        <v>20.45</v>
      </c>
      <c r="AC147" s="9">
        <f t="shared" si="3"/>
        <v>3</v>
      </c>
      <c r="AD147" s="9">
        <v>0.5</v>
      </c>
      <c r="AE147" s="9">
        <v>0.05</v>
      </c>
      <c r="AF147" s="9">
        <v>1.25E-3</v>
      </c>
      <c r="AG147" s="9">
        <v>48.5</v>
      </c>
      <c r="AH147" s="9">
        <v>0.24299999999999999</v>
      </c>
      <c r="AI147" s="13">
        <v>5</v>
      </c>
      <c r="AJ147" s="9">
        <f t="shared" si="4"/>
        <v>0</v>
      </c>
      <c r="AK147" s="9">
        <v>4</v>
      </c>
      <c r="AL147" s="9">
        <v>16</v>
      </c>
      <c r="AM147" s="9">
        <v>9.44</v>
      </c>
      <c r="AN147" s="15">
        <v>0.6</v>
      </c>
      <c r="AO147" s="9">
        <f t="shared" si="41"/>
        <v>0.9</v>
      </c>
      <c r="AP147" s="9">
        <v>8.5</v>
      </c>
      <c r="AQ147" s="9">
        <f t="shared" si="45"/>
        <v>0.3</v>
      </c>
      <c r="AR147" s="9">
        <v>4</v>
      </c>
      <c r="AS147" s="9">
        <v>0.5</v>
      </c>
      <c r="AT147" s="9">
        <v>0.33</v>
      </c>
      <c r="AU147" s="9">
        <v>24</v>
      </c>
      <c r="AV147" s="15">
        <v>0.2</v>
      </c>
      <c r="AW147" s="12">
        <v>0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16</v>
      </c>
      <c r="BD147" s="9">
        <v>37.75</v>
      </c>
      <c r="BE147" s="9">
        <v>7.5</v>
      </c>
      <c r="BF147" s="9">
        <f t="shared" si="8"/>
        <v>0.4</v>
      </c>
      <c r="BG147" s="9">
        <f t="shared" si="32"/>
        <v>2</v>
      </c>
      <c r="BH147" s="9">
        <v>6</v>
      </c>
      <c r="BI147" s="9">
        <f t="shared" si="10"/>
        <v>0</v>
      </c>
      <c r="BJ147" s="9">
        <v>8</v>
      </c>
      <c r="BK147" s="9">
        <v>0.71</v>
      </c>
      <c r="BL147" s="15">
        <v>7</v>
      </c>
      <c r="BM147" s="14">
        <v>0.33</v>
      </c>
      <c r="BN147" s="8">
        <v>0</v>
      </c>
      <c r="BO147" s="14">
        <v>0</v>
      </c>
      <c r="BP147" s="14">
        <v>0</v>
      </c>
      <c r="BQ147" s="14">
        <f t="shared" si="46"/>
        <v>0.3</v>
      </c>
      <c r="BR147" s="15">
        <v>0</v>
      </c>
      <c r="BS147" s="15">
        <f t="shared" si="29"/>
        <v>6.7000000000000004E-2</v>
      </c>
      <c r="BT147" s="14">
        <v>0</v>
      </c>
      <c r="BU147" s="14">
        <v>0</v>
      </c>
      <c r="BV147" s="15">
        <v>98.5</v>
      </c>
      <c r="BW147" s="15">
        <v>0.112</v>
      </c>
      <c r="BX147" s="15">
        <f t="shared" si="13"/>
        <v>0</v>
      </c>
      <c r="BY147" s="14">
        <f t="shared" si="14"/>
        <v>38.400000000000006</v>
      </c>
      <c r="BZ147" s="14">
        <f t="shared" si="15"/>
        <v>0</v>
      </c>
      <c r="CA147" s="14">
        <f t="shared" si="16"/>
        <v>0</v>
      </c>
      <c r="CB147" s="14">
        <f t="shared" si="17"/>
        <v>38.400000000000006</v>
      </c>
      <c r="CC147" s="15">
        <f t="shared" si="18"/>
        <v>0.70699999999999996</v>
      </c>
      <c r="CD147" s="14">
        <f t="shared" si="19"/>
        <v>27.15</v>
      </c>
      <c r="CE147" s="14">
        <f t="shared" si="20"/>
        <v>0.94</v>
      </c>
      <c r="CF147" s="14">
        <f t="shared" si="21"/>
        <v>25.52</v>
      </c>
      <c r="CG147" s="14">
        <f t="shared" si="22"/>
        <v>126</v>
      </c>
    </row>
    <row r="148" spans="1:85" ht="13.2" x14ac:dyDescent="0.25">
      <c r="A148" s="8">
        <v>1196683</v>
      </c>
      <c r="B148" s="9" t="s">
        <v>251</v>
      </c>
      <c r="C148" s="9" t="s">
        <v>179</v>
      </c>
      <c r="D148" s="9">
        <v>0</v>
      </c>
      <c r="E148" s="9">
        <v>1</v>
      </c>
      <c r="F148" s="9">
        <v>0</v>
      </c>
      <c r="G148" s="9">
        <v>0</v>
      </c>
      <c r="H148" s="9">
        <v>8</v>
      </c>
      <c r="I148" s="9">
        <v>6</v>
      </c>
      <c r="J148" s="11">
        <f t="shared" si="44"/>
        <v>0</v>
      </c>
      <c r="K148" s="10">
        <v>0</v>
      </c>
      <c r="L148" s="11">
        <v>0</v>
      </c>
      <c r="M148" s="11">
        <v>0.1</v>
      </c>
      <c r="N148" s="11" t="s">
        <v>180</v>
      </c>
      <c r="O148" s="11">
        <v>6</v>
      </c>
      <c r="P148" s="9" t="s">
        <v>88</v>
      </c>
      <c r="Q148" s="9">
        <v>0</v>
      </c>
      <c r="R148" s="9">
        <v>25</v>
      </c>
      <c r="S148" s="10">
        <v>0</v>
      </c>
      <c r="T148" s="9">
        <v>0</v>
      </c>
      <c r="U148" s="10">
        <f t="shared" si="1"/>
        <v>0</v>
      </c>
      <c r="V148" s="9">
        <v>31.2</v>
      </c>
      <c r="W148" s="10">
        <f t="shared" si="43"/>
        <v>0.1</v>
      </c>
      <c r="X148" s="10">
        <v>0</v>
      </c>
      <c r="Y148" s="10">
        <v>0</v>
      </c>
      <c r="Z148" s="10">
        <v>0</v>
      </c>
      <c r="AA148" s="10">
        <v>0</v>
      </c>
      <c r="AB148" s="9">
        <v>23.13</v>
      </c>
      <c r="AC148" s="9">
        <f t="shared" si="3"/>
        <v>3</v>
      </c>
      <c r="AD148" s="9">
        <v>0.5</v>
      </c>
      <c r="AE148" s="9">
        <v>0.05</v>
      </c>
      <c r="AF148" s="9">
        <v>1.25E-3</v>
      </c>
      <c r="AG148" s="9">
        <v>21.7</v>
      </c>
      <c r="AH148" s="9">
        <v>0.109</v>
      </c>
      <c r="AI148" s="13">
        <v>6</v>
      </c>
      <c r="AJ148" s="9">
        <f t="shared" si="4"/>
        <v>0</v>
      </c>
      <c r="AK148" s="9">
        <v>5</v>
      </c>
      <c r="AL148" s="9">
        <v>26</v>
      </c>
      <c r="AM148" s="9">
        <v>8.73</v>
      </c>
      <c r="AN148" s="15">
        <v>0.4</v>
      </c>
      <c r="AO148" s="9">
        <f t="shared" si="41"/>
        <v>0.9</v>
      </c>
      <c r="AP148" s="9">
        <v>8.5</v>
      </c>
      <c r="AQ148" s="9">
        <f t="shared" si="45"/>
        <v>0.1</v>
      </c>
      <c r="AR148" s="9">
        <v>2.5</v>
      </c>
      <c r="AS148" s="9">
        <v>0.5</v>
      </c>
      <c r="AT148" s="9">
        <v>0.33</v>
      </c>
      <c r="AU148" s="9">
        <v>36</v>
      </c>
      <c r="AV148" s="15">
        <v>0.6</v>
      </c>
      <c r="AW148" s="12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26</v>
      </c>
      <c r="BD148" s="9">
        <v>45.4</v>
      </c>
      <c r="BE148" s="9">
        <v>7</v>
      </c>
      <c r="BF148" s="9">
        <f t="shared" si="8"/>
        <v>0.3</v>
      </c>
      <c r="BG148" s="9">
        <f t="shared" si="32"/>
        <v>2</v>
      </c>
      <c r="BH148" s="9">
        <v>6</v>
      </c>
      <c r="BI148" s="9">
        <f t="shared" si="10"/>
        <v>0</v>
      </c>
      <c r="BJ148" s="9">
        <v>7</v>
      </c>
      <c r="BK148" s="9">
        <v>0.86</v>
      </c>
      <c r="BL148" s="15">
        <v>7</v>
      </c>
      <c r="BM148" s="14">
        <v>0.33</v>
      </c>
      <c r="BN148" s="8">
        <v>0</v>
      </c>
      <c r="BO148" s="14">
        <v>0</v>
      </c>
      <c r="BP148" s="14">
        <v>0</v>
      </c>
      <c r="BQ148" s="14">
        <f t="shared" si="46"/>
        <v>0.3</v>
      </c>
      <c r="BR148" s="15">
        <v>0</v>
      </c>
      <c r="BS148" s="15">
        <f t="shared" si="29"/>
        <v>5.8999999999999997E-2</v>
      </c>
      <c r="BT148" s="14">
        <v>0</v>
      </c>
      <c r="BU148" s="14">
        <v>0</v>
      </c>
      <c r="BV148" s="15">
        <v>178.5</v>
      </c>
      <c r="BW148" s="15">
        <v>0.19900000000000001</v>
      </c>
      <c r="BX148" s="15">
        <f t="shared" si="13"/>
        <v>0</v>
      </c>
      <c r="BY148" s="14">
        <f t="shared" si="14"/>
        <v>42.400000000000013</v>
      </c>
      <c r="BZ148" s="14">
        <f t="shared" si="15"/>
        <v>0</v>
      </c>
      <c r="CA148" s="14">
        <f t="shared" si="16"/>
        <v>0</v>
      </c>
      <c r="CB148" s="14">
        <f t="shared" si="17"/>
        <v>42.400000000000013</v>
      </c>
      <c r="CC148" s="15">
        <f t="shared" si="18"/>
        <v>0.70599999999999996</v>
      </c>
      <c r="CD148" s="14">
        <f t="shared" si="19"/>
        <v>29.93</v>
      </c>
      <c r="CE148" s="14">
        <f t="shared" si="20"/>
        <v>0.98</v>
      </c>
      <c r="CF148" s="14">
        <f t="shared" si="21"/>
        <v>29.33</v>
      </c>
      <c r="CG148" s="14">
        <f t="shared" si="22"/>
        <v>107</v>
      </c>
    </row>
    <row r="149" spans="1:85" ht="13.2" x14ac:dyDescent="0.25">
      <c r="A149" s="8">
        <v>493781</v>
      </c>
      <c r="B149" s="9" t="s">
        <v>252</v>
      </c>
      <c r="C149" s="9" t="s">
        <v>179</v>
      </c>
      <c r="D149" s="9">
        <v>0</v>
      </c>
      <c r="E149" s="9">
        <v>1</v>
      </c>
      <c r="F149" s="9">
        <v>0</v>
      </c>
      <c r="G149" s="9">
        <v>0</v>
      </c>
      <c r="H149" s="11">
        <v>5</v>
      </c>
      <c r="I149" s="9">
        <v>6</v>
      </c>
      <c r="J149" s="11">
        <f t="shared" si="44"/>
        <v>0</v>
      </c>
      <c r="K149" s="10">
        <v>0</v>
      </c>
      <c r="L149" s="11">
        <v>0</v>
      </c>
      <c r="M149" s="11">
        <v>0.1</v>
      </c>
      <c r="N149" s="11" t="s">
        <v>180</v>
      </c>
      <c r="O149" s="11">
        <v>6</v>
      </c>
      <c r="P149" s="9" t="s">
        <v>88</v>
      </c>
      <c r="Q149" s="9">
        <v>0</v>
      </c>
      <c r="R149" s="9">
        <v>33</v>
      </c>
      <c r="S149" s="10">
        <v>0</v>
      </c>
      <c r="T149" s="9">
        <v>0</v>
      </c>
      <c r="U149" s="10">
        <f t="shared" si="1"/>
        <v>0</v>
      </c>
      <c r="V149" s="9">
        <v>60</v>
      </c>
      <c r="W149" s="10">
        <f t="shared" si="43"/>
        <v>0.2</v>
      </c>
      <c r="X149" s="10">
        <v>0</v>
      </c>
      <c r="Y149" s="10">
        <v>0</v>
      </c>
      <c r="Z149" s="10">
        <v>0</v>
      </c>
      <c r="AA149" s="10">
        <v>0</v>
      </c>
      <c r="AB149" s="9">
        <v>37.83</v>
      </c>
      <c r="AC149" s="9">
        <f t="shared" si="3"/>
        <v>3</v>
      </c>
      <c r="AD149" s="9">
        <v>0.5</v>
      </c>
      <c r="AE149" s="9">
        <v>0.05</v>
      </c>
      <c r="AF149" s="9">
        <v>1.25E-3</v>
      </c>
      <c r="AG149" s="9">
        <v>100</v>
      </c>
      <c r="AH149" s="9">
        <v>0.5</v>
      </c>
      <c r="AI149" s="13">
        <v>7</v>
      </c>
      <c r="AJ149" s="9">
        <f t="shared" si="4"/>
        <v>0</v>
      </c>
      <c r="AK149" s="9">
        <v>1</v>
      </c>
      <c r="AL149" s="9">
        <v>10</v>
      </c>
      <c r="AM149" s="9">
        <v>9.5</v>
      </c>
      <c r="AN149" s="15">
        <v>0.5</v>
      </c>
      <c r="AO149" s="9">
        <f t="shared" si="41"/>
        <v>1</v>
      </c>
      <c r="AP149" s="9">
        <v>9</v>
      </c>
      <c r="AQ149" s="9">
        <f t="shared" si="45"/>
        <v>0.1</v>
      </c>
      <c r="AR149" s="9">
        <v>2.5</v>
      </c>
      <c r="AS149" s="9">
        <v>0.5</v>
      </c>
      <c r="AT149" s="9">
        <v>0.33</v>
      </c>
      <c r="AU149" s="9">
        <v>33</v>
      </c>
      <c r="AV149" s="15">
        <v>0.5</v>
      </c>
      <c r="AW149" s="12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10</v>
      </c>
      <c r="BD149" s="9">
        <v>95</v>
      </c>
      <c r="BE149" s="9">
        <v>7.5</v>
      </c>
      <c r="BF149" s="9">
        <f t="shared" si="8"/>
        <v>0.4</v>
      </c>
      <c r="BG149" s="9">
        <f t="shared" si="32"/>
        <v>2</v>
      </c>
      <c r="BH149" s="9">
        <v>6</v>
      </c>
      <c r="BI149" s="9">
        <f t="shared" si="10"/>
        <v>0</v>
      </c>
      <c r="BJ149" s="9">
        <v>8</v>
      </c>
      <c r="BK149" s="9">
        <v>0.86</v>
      </c>
      <c r="BL149" s="15">
        <v>7</v>
      </c>
      <c r="BM149" s="14">
        <v>0.33</v>
      </c>
      <c r="BN149" s="8">
        <v>0</v>
      </c>
      <c r="BO149" s="14">
        <v>0</v>
      </c>
      <c r="BP149" s="14">
        <v>0</v>
      </c>
      <c r="BQ149" s="14">
        <f t="shared" si="46"/>
        <v>0.3</v>
      </c>
      <c r="BR149" s="15">
        <v>0</v>
      </c>
      <c r="BS149" s="15">
        <f t="shared" si="29"/>
        <v>6.7000000000000004E-2</v>
      </c>
      <c r="BT149" s="14">
        <v>0</v>
      </c>
      <c r="BU149" s="14">
        <v>0</v>
      </c>
      <c r="BV149" s="15">
        <v>50.5</v>
      </c>
      <c r="BW149" s="15">
        <v>0.06</v>
      </c>
      <c r="BX149" s="15">
        <f t="shared" si="13"/>
        <v>0</v>
      </c>
      <c r="BY149" s="14">
        <f t="shared" si="14"/>
        <v>42.900000000000006</v>
      </c>
      <c r="BZ149" s="14">
        <f t="shared" si="15"/>
        <v>0</v>
      </c>
      <c r="CA149" s="14">
        <f t="shared" si="16"/>
        <v>0</v>
      </c>
      <c r="CB149" s="14">
        <f t="shared" si="17"/>
        <v>42.900000000000006</v>
      </c>
      <c r="CC149" s="15">
        <f t="shared" si="18"/>
        <v>0.70699999999999996</v>
      </c>
      <c r="CD149" s="14">
        <f t="shared" si="19"/>
        <v>30.33</v>
      </c>
      <c r="CE149" s="14">
        <f t="shared" si="20"/>
        <v>0.98</v>
      </c>
      <c r="CF149" s="14">
        <f t="shared" si="21"/>
        <v>29.72</v>
      </c>
      <c r="CG149" s="14">
        <f t="shared" si="22"/>
        <v>103</v>
      </c>
    </row>
    <row r="150" spans="1:85" ht="13.2" x14ac:dyDescent="0.25">
      <c r="A150" s="8">
        <v>324485</v>
      </c>
      <c r="B150" s="9" t="s">
        <v>253</v>
      </c>
      <c r="C150" s="9" t="s">
        <v>179</v>
      </c>
      <c r="D150" s="9">
        <v>0</v>
      </c>
      <c r="E150" s="9">
        <v>1</v>
      </c>
      <c r="F150" s="9">
        <v>0</v>
      </c>
      <c r="G150" s="9">
        <v>0</v>
      </c>
      <c r="H150" s="9">
        <v>13</v>
      </c>
      <c r="I150" s="9">
        <v>10</v>
      </c>
      <c r="J150" s="11">
        <f t="shared" si="44"/>
        <v>0</v>
      </c>
      <c r="K150" s="10">
        <v>0</v>
      </c>
      <c r="L150" s="11">
        <v>0</v>
      </c>
      <c r="M150" s="11">
        <v>0.1</v>
      </c>
      <c r="N150" s="11" t="s">
        <v>180</v>
      </c>
      <c r="O150" s="11">
        <v>6</v>
      </c>
      <c r="P150" s="9" t="s">
        <v>88</v>
      </c>
      <c r="Q150" s="9">
        <v>0</v>
      </c>
      <c r="R150" s="9">
        <v>22</v>
      </c>
      <c r="S150" s="10">
        <v>0</v>
      </c>
      <c r="T150" s="9">
        <v>0</v>
      </c>
      <c r="U150" s="10">
        <f t="shared" si="1"/>
        <v>0</v>
      </c>
      <c r="V150" s="9">
        <v>25.8</v>
      </c>
      <c r="W150" s="10">
        <f t="shared" si="43"/>
        <v>0.1</v>
      </c>
      <c r="X150" s="10">
        <v>0</v>
      </c>
      <c r="Y150" s="10">
        <v>0</v>
      </c>
      <c r="Z150" s="10">
        <v>0</v>
      </c>
      <c r="AA150" s="10">
        <v>0</v>
      </c>
      <c r="AB150" s="9">
        <v>20.25</v>
      </c>
      <c r="AC150" s="9">
        <f t="shared" si="3"/>
        <v>3</v>
      </c>
      <c r="AD150" s="9">
        <v>0.5</v>
      </c>
      <c r="AE150" s="9">
        <v>0.05</v>
      </c>
      <c r="AF150" s="9">
        <v>1.25E-3</v>
      </c>
      <c r="AG150" s="9">
        <v>48</v>
      </c>
      <c r="AH150" s="9">
        <v>0.24</v>
      </c>
      <c r="AI150" s="13">
        <v>6</v>
      </c>
      <c r="AJ150" s="9">
        <f t="shared" si="4"/>
        <v>0</v>
      </c>
      <c r="AK150" s="9">
        <v>10</v>
      </c>
      <c r="AL150" s="9">
        <v>43</v>
      </c>
      <c r="AM150" s="9">
        <v>8.65</v>
      </c>
      <c r="AN150" s="15">
        <v>0.3</v>
      </c>
      <c r="AO150" s="9">
        <f t="shared" si="41"/>
        <v>1</v>
      </c>
      <c r="AP150" s="9">
        <v>9</v>
      </c>
      <c r="AQ150" s="9">
        <f t="shared" si="45"/>
        <v>0.1</v>
      </c>
      <c r="AR150" s="9">
        <v>2.5</v>
      </c>
      <c r="AS150" s="9">
        <v>0.6</v>
      </c>
      <c r="AT150" s="9">
        <v>0.4</v>
      </c>
      <c r="AU150" s="9">
        <v>22</v>
      </c>
      <c r="AV150" s="15">
        <v>0.2</v>
      </c>
      <c r="AW150" s="12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43</v>
      </c>
      <c r="BD150" s="9">
        <v>37.200000000000003</v>
      </c>
      <c r="BE150" s="9">
        <v>7</v>
      </c>
      <c r="BF150" s="9">
        <f t="shared" si="8"/>
        <v>0.3</v>
      </c>
      <c r="BG150" s="9">
        <f t="shared" si="32"/>
        <v>2</v>
      </c>
      <c r="BH150" s="9">
        <v>6</v>
      </c>
      <c r="BI150" s="9">
        <f t="shared" si="10"/>
        <v>0</v>
      </c>
      <c r="BJ150" s="9">
        <v>8</v>
      </c>
      <c r="BK150" s="9">
        <v>0.56999999999999995</v>
      </c>
      <c r="BL150" s="15">
        <v>7</v>
      </c>
      <c r="BM150" s="14">
        <v>0.33</v>
      </c>
      <c r="BN150" s="8">
        <v>0</v>
      </c>
      <c r="BO150" s="14">
        <v>0</v>
      </c>
      <c r="BP150" s="14">
        <v>0</v>
      </c>
      <c r="BQ150" s="14">
        <f t="shared" si="46"/>
        <v>0.2</v>
      </c>
      <c r="BR150" s="15">
        <v>0</v>
      </c>
      <c r="BS150" s="15">
        <f t="shared" si="29"/>
        <v>5.8999999999999997E-2</v>
      </c>
      <c r="BT150" s="14">
        <v>0</v>
      </c>
      <c r="BU150" s="14">
        <v>0</v>
      </c>
      <c r="BV150" s="15">
        <v>314.5</v>
      </c>
      <c r="BW150" s="15">
        <v>0.34599999999999997</v>
      </c>
      <c r="BX150" s="15">
        <f t="shared" si="13"/>
        <v>0</v>
      </c>
      <c r="BY150" s="14">
        <f t="shared" si="14"/>
        <v>35</v>
      </c>
      <c r="BZ150" s="14">
        <f t="shared" si="15"/>
        <v>0</v>
      </c>
      <c r="CA150" s="14">
        <f t="shared" si="16"/>
        <v>0</v>
      </c>
      <c r="CB150" s="14">
        <f t="shared" si="17"/>
        <v>35</v>
      </c>
      <c r="CC150" s="15">
        <f t="shared" si="18"/>
        <v>0.70599999999999996</v>
      </c>
      <c r="CD150" s="14">
        <f t="shared" si="19"/>
        <v>24.71</v>
      </c>
      <c r="CE150" s="14">
        <f t="shared" si="20"/>
        <v>0.98</v>
      </c>
      <c r="CF150" s="14">
        <f t="shared" si="21"/>
        <v>24.22</v>
      </c>
      <c r="CG150" s="14">
        <f t="shared" si="22"/>
        <v>132</v>
      </c>
    </row>
    <row r="151" spans="1:85" ht="13.2" x14ac:dyDescent="0.25">
      <c r="A151" s="8">
        <v>1159613</v>
      </c>
      <c r="B151" s="9" t="s">
        <v>254</v>
      </c>
      <c r="C151" s="9" t="s">
        <v>179</v>
      </c>
      <c r="D151" s="9">
        <v>0</v>
      </c>
      <c r="E151" s="9">
        <v>1</v>
      </c>
      <c r="F151" s="9">
        <v>0</v>
      </c>
      <c r="G151" s="9">
        <v>0</v>
      </c>
      <c r="H151" s="9">
        <v>6</v>
      </c>
      <c r="I151" s="9">
        <v>14</v>
      </c>
      <c r="J151" s="11">
        <f t="shared" si="44"/>
        <v>0</v>
      </c>
      <c r="K151" s="10">
        <v>0</v>
      </c>
      <c r="L151" s="11">
        <v>0</v>
      </c>
      <c r="M151" s="11">
        <v>0.1</v>
      </c>
      <c r="N151" s="11" t="s">
        <v>180</v>
      </c>
      <c r="O151" s="11">
        <v>6</v>
      </c>
      <c r="P151" s="9" t="s">
        <v>88</v>
      </c>
      <c r="Q151" s="9">
        <v>0</v>
      </c>
      <c r="R151" s="9">
        <v>23</v>
      </c>
      <c r="S151" s="10">
        <v>0</v>
      </c>
      <c r="T151" s="9">
        <v>21.8</v>
      </c>
      <c r="U151" s="10">
        <f t="shared" si="1"/>
        <v>0.4</v>
      </c>
      <c r="V151" s="9">
        <v>22.8</v>
      </c>
      <c r="W151" s="10">
        <f t="shared" si="43"/>
        <v>0</v>
      </c>
      <c r="X151" s="10">
        <v>0</v>
      </c>
      <c r="Y151" s="10">
        <v>0</v>
      </c>
      <c r="Z151" s="10">
        <v>0</v>
      </c>
      <c r="AA151" s="10">
        <v>0</v>
      </c>
      <c r="AB151" s="9">
        <v>20.39</v>
      </c>
      <c r="AC151" s="9">
        <f t="shared" si="3"/>
        <v>3</v>
      </c>
      <c r="AD151" s="9">
        <v>0.5</v>
      </c>
      <c r="AE151" s="9">
        <v>0.05</v>
      </c>
      <c r="AF151" s="9">
        <v>1.25E-3</v>
      </c>
      <c r="AG151" s="9">
        <v>2</v>
      </c>
      <c r="AH151" s="9">
        <v>0.01</v>
      </c>
      <c r="AI151" s="13">
        <v>6</v>
      </c>
      <c r="AJ151" s="9">
        <f t="shared" si="4"/>
        <v>0</v>
      </c>
      <c r="AK151" s="9">
        <v>5</v>
      </c>
      <c r="AL151" s="9">
        <v>19</v>
      </c>
      <c r="AM151" s="9">
        <v>9.89</v>
      </c>
      <c r="AN151" s="15">
        <v>0.5</v>
      </c>
      <c r="AO151" s="9">
        <f t="shared" si="41"/>
        <v>0.9</v>
      </c>
      <c r="AP151" s="9">
        <v>8.5</v>
      </c>
      <c r="AQ151" s="9">
        <f t="shared" si="45"/>
        <v>0.1</v>
      </c>
      <c r="AR151" s="9">
        <v>2.5</v>
      </c>
      <c r="AS151" s="9">
        <v>0.5</v>
      </c>
      <c r="AT151" s="9">
        <v>0.33</v>
      </c>
      <c r="AU151" s="9">
        <v>34</v>
      </c>
      <c r="AV151" s="15">
        <v>0.5</v>
      </c>
      <c r="AW151" s="12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19</v>
      </c>
      <c r="BD151" s="9">
        <v>37.6</v>
      </c>
      <c r="BE151" s="9">
        <v>7.5</v>
      </c>
      <c r="BF151" s="9">
        <f t="shared" si="8"/>
        <v>0.4</v>
      </c>
      <c r="BG151" s="9">
        <f t="shared" si="32"/>
        <v>2</v>
      </c>
      <c r="BH151" s="9">
        <v>6</v>
      </c>
      <c r="BI151" s="9">
        <f t="shared" si="10"/>
        <v>0</v>
      </c>
      <c r="BJ151" s="9">
        <v>6</v>
      </c>
      <c r="BK151" s="9">
        <v>0.14000000000000001</v>
      </c>
      <c r="BL151" s="15">
        <v>7</v>
      </c>
      <c r="BM151" s="14">
        <v>0.33</v>
      </c>
      <c r="BN151" s="8">
        <v>0</v>
      </c>
      <c r="BO151" s="14">
        <v>0</v>
      </c>
      <c r="BP151" s="14">
        <v>0</v>
      </c>
      <c r="BQ151" s="14">
        <f t="shared" si="46"/>
        <v>0.3</v>
      </c>
      <c r="BR151" s="15">
        <v>0</v>
      </c>
      <c r="BS151" s="15">
        <f t="shared" si="29"/>
        <v>6.7000000000000004E-2</v>
      </c>
      <c r="BT151" s="14">
        <v>0</v>
      </c>
      <c r="BU151" s="14">
        <v>0</v>
      </c>
      <c r="BV151" s="15">
        <v>122.5</v>
      </c>
      <c r="BW151" s="15">
        <v>0.13800000000000001</v>
      </c>
      <c r="BX151" s="15">
        <f t="shared" si="13"/>
        <v>0</v>
      </c>
      <c r="BY151" s="14">
        <f t="shared" si="14"/>
        <v>41.900000000000006</v>
      </c>
      <c r="BZ151" s="14">
        <f t="shared" si="15"/>
        <v>0</v>
      </c>
      <c r="CA151" s="14">
        <f t="shared" si="16"/>
        <v>0</v>
      </c>
      <c r="CB151" s="14">
        <f t="shared" si="17"/>
        <v>41.900000000000006</v>
      </c>
      <c r="CC151" s="15">
        <f t="shared" si="18"/>
        <v>0.70699999999999996</v>
      </c>
      <c r="CD151" s="14">
        <f t="shared" si="19"/>
        <v>29.62</v>
      </c>
      <c r="CE151" s="14">
        <f t="shared" si="20"/>
        <v>0.98</v>
      </c>
      <c r="CF151" s="14">
        <f t="shared" si="21"/>
        <v>29.03</v>
      </c>
      <c r="CG151" s="14">
        <f t="shared" si="22"/>
        <v>110</v>
      </c>
    </row>
    <row r="152" spans="1:85" ht="13.2" x14ac:dyDescent="0.25">
      <c r="A152" s="8">
        <v>793463</v>
      </c>
      <c r="B152" s="9" t="s">
        <v>255</v>
      </c>
      <c r="C152" s="9" t="s">
        <v>179</v>
      </c>
      <c r="D152" s="9">
        <v>0</v>
      </c>
      <c r="E152" s="9">
        <v>1</v>
      </c>
      <c r="F152" s="9">
        <v>0</v>
      </c>
      <c r="G152" s="9">
        <v>0</v>
      </c>
      <c r="H152" s="9">
        <v>6</v>
      </c>
      <c r="I152" s="9">
        <v>14</v>
      </c>
      <c r="J152" s="11">
        <f t="shared" si="44"/>
        <v>0</v>
      </c>
      <c r="K152" s="10">
        <v>0</v>
      </c>
      <c r="L152" s="11">
        <v>0</v>
      </c>
      <c r="M152" s="11">
        <v>0.1</v>
      </c>
      <c r="N152" s="11" t="s">
        <v>180</v>
      </c>
      <c r="O152" s="11">
        <v>6</v>
      </c>
      <c r="P152" s="9" t="s">
        <v>88</v>
      </c>
      <c r="Q152" s="9">
        <v>0</v>
      </c>
      <c r="R152" s="9">
        <v>25</v>
      </c>
      <c r="S152" s="10">
        <v>0</v>
      </c>
      <c r="T152" s="9">
        <v>0</v>
      </c>
      <c r="U152" s="10">
        <f t="shared" si="1"/>
        <v>0</v>
      </c>
      <c r="V152" s="9">
        <v>27.33</v>
      </c>
      <c r="W152" s="10">
        <f t="shared" si="43"/>
        <v>0.1</v>
      </c>
      <c r="X152" s="10">
        <v>0</v>
      </c>
      <c r="Y152" s="10">
        <v>0</v>
      </c>
      <c r="Z152" s="10">
        <v>0</v>
      </c>
      <c r="AA152" s="10">
        <v>0</v>
      </c>
      <c r="AB152" s="9">
        <v>21.84</v>
      </c>
      <c r="AC152" s="9">
        <f t="shared" si="3"/>
        <v>3</v>
      </c>
      <c r="AD152" s="9">
        <v>0.5</v>
      </c>
      <c r="AE152" s="9">
        <v>0.05</v>
      </c>
      <c r="AF152" s="9">
        <v>1.25E-3</v>
      </c>
      <c r="AG152" s="9">
        <v>14.7</v>
      </c>
      <c r="AH152" s="9">
        <v>7.3999999999999996E-2</v>
      </c>
      <c r="AI152" s="13">
        <v>9</v>
      </c>
      <c r="AJ152" s="9">
        <f t="shared" si="4"/>
        <v>0.1</v>
      </c>
      <c r="AK152" s="9">
        <v>3</v>
      </c>
      <c r="AL152" s="9">
        <v>13.4</v>
      </c>
      <c r="AM152" s="9">
        <v>9.15</v>
      </c>
      <c r="AN152" s="15">
        <v>0.7</v>
      </c>
      <c r="AO152" s="9">
        <f t="shared" si="41"/>
        <v>0.9</v>
      </c>
      <c r="AP152" s="9">
        <v>8.5</v>
      </c>
      <c r="AQ152" s="9">
        <f t="shared" si="45"/>
        <v>0.3</v>
      </c>
      <c r="AR152" s="9">
        <v>3.5</v>
      </c>
      <c r="AS152" s="9">
        <v>0.5</v>
      </c>
      <c r="AT152" s="9">
        <v>0.33</v>
      </c>
      <c r="AU152" s="9">
        <v>35</v>
      </c>
      <c r="AV152" s="15">
        <v>0.6</v>
      </c>
      <c r="AW152" s="12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13.4</v>
      </c>
      <c r="BD152" s="9">
        <v>41.67</v>
      </c>
      <c r="BE152" s="9">
        <v>7.5</v>
      </c>
      <c r="BF152" s="9">
        <f t="shared" si="8"/>
        <v>0.4</v>
      </c>
      <c r="BG152" s="9">
        <f t="shared" si="32"/>
        <v>2</v>
      </c>
      <c r="BH152" s="9">
        <v>6</v>
      </c>
      <c r="BI152" s="9">
        <f t="shared" si="10"/>
        <v>0</v>
      </c>
      <c r="BJ152" s="9">
        <v>8</v>
      </c>
      <c r="BK152" s="9">
        <v>0.71</v>
      </c>
      <c r="BL152" s="15">
        <v>7</v>
      </c>
      <c r="BM152" s="14">
        <v>0.33</v>
      </c>
      <c r="BN152" s="8">
        <v>0</v>
      </c>
      <c r="BO152" s="14">
        <v>0</v>
      </c>
      <c r="BP152" s="14">
        <v>0</v>
      </c>
      <c r="BQ152" s="14">
        <f t="shared" si="46"/>
        <v>0.3</v>
      </c>
      <c r="BR152" s="15">
        <v>0</v>
      </c>
      <c r="BS152" s="15">
        <f t="shared" si="29"/>
        <v>7.9000000000000001E-2</v>
      </c>
      <c r="BT152" s="14">
        <v>0</v>
      </c>
      <c r="BU152" s="14">
        <v>0</v>
      </c>
      <c r="BV152" s="15">
        <v>77.7</v>
      </c>
      <c r="BW152" s="15">
        <v>8.8999999999999996E-2</v>
      </c>
      <c r="BX152" s="15">
        <f t="shared" si="13"/>
        <v>0</v>
      </c>
      <c r="BY152" s="14">
        <f t="shared" si="14"/>
        <v>45.400000000000006</v>
      </c>
      <c r="BZ152" s="14">
        <f t="shared" si="15"/>
        <v>0</v>
      </c>
      <c r="CA152" s="14">
        <f t="shared" si="16"/>
        <v>0</v>
      </c>
      <c r="CB152" s="14">
        <f t="shared" si="17"/>
        <v>45.400000000000006</v>
      </c>
      <c r="CC152" s="15">
        <f t="shared" si="18"/>
        <v>0.70799999999999996</v>
      </c>
      <c r="CD152" s="14">
        <f t="shared" si="19"/>
        <v>32.14</v>
      </c>
      <c r="CE152" s="14">
        <f t="shared" si="20"/>
        <v>0.94</v>
      </c>
      <c r="CF152" s="14">
        <f t="shared" si="21"/>
        <v>30.21</v>
      </c>
      <c r="CG152" s="14">
        <f t="shared" si="22"/>
        <v>95</v>
      </c>
    </row>
    <row r="153" spans="1:85" ht="13.2" x14ac:dyDescent="0.25">
      <c r="A153" s="8">
        <v>1306288</v>
      </c>
      <c r="B153" s="9" t="s">
        <v>256</v>
      </c>
      <c r="C153" s="9" t="s">
        <v>179</v>
      </c>
      <c r="D153" s="9">
        <v>0</v>
      </c>
      <c r="E153" s="9">
        <v>1</v>
      </c>
      <c r="F153" s="9">
        <v>0</v>
      </c>
      <c r="G153" s="9">
        <v>0</v>
      </c>
      <c r="H153" s="9">
        <v>5</v>
      </c>
      <c r="I153" s="9">
        <v>14</v>
      </c>
      <c r="J153" s="11">
        <f t="shared" si="44"/>
        <v>0</v>
      </c>
      <c r="K153" s="10">
        <v>0</v>
      </c>
      <c r="L153" s="11">
        <v>0</v>
      </c>
      <c r="M153" s="11">
        <v>0.1</v>
      </c>
      <c r="N153" s="11" t="s">
        <v>180</v>
      </c>
      <c r="O153" s="11">
        <v>6</v>
      </c>
      <c r="P153" s="9" t="s">
        <v>242</v>
      </c>
      <c r="Q153" s="9">
        <v>1</v>
      </c>
      <c r="R153" s="9">
        <v>28</v>
      </c>
      <c r="S153" s="10">
        <v>0</v>
      </c>
      <c r="T153" s="9">
        <v>0</v>
      </c>
      <c r="U153" s="10">
        <f t="shared" si="1"/>
        <v>0</v>
      </c>
      <c r="V153" s="9">
        <v>60</v>
      </c>
      <c r="W153" s="10">
        <f t="shared" si="43"/>
        <v>0.2</v>
      </c>
      <c r="X153" s="10">
        <v>0</v>
      </c>
      <c r="Y153" s="10">
        <v>0</v>
      </c>
      <c r="Z153" s="10">
        <v>0</v>
      </c>
      <c r="AA153" s="10">
        <v>0</v>
      </c>
      <c r="AB153" s="9">
        <v>37.83</v>
      </c>
      <c r="AC153" s="9">
        <f t="shared" si="3"/>
        <v>3</v>
      </c>
      <c r="AD153" s="9">
        <v>0.5</v>
      </c>
      <c r="AE153" s="9">
        <v>0.05</v>
      </c>
      <c r="AF153" s="9">
        <v>1.25E-3</v>
      </c>
      <c r="AG153" s="9">
        <v>50</v>
      </c>
      <c r="AH153" s="9">
        <v>0.25</v>
      </c>
      <c r="AI153" s="13">
        <v>4</v>
      </c>
      <c r="AJ153" s="9">
        <f t="shared" si="4"/>
        <v>0</v>
      </c>
      <c r="AK153" s="9">
        <v>2</v>
      </c>
      <c r="AL153" s="9">
        <v>20</v>
      </c>
      <c r="AM153" s="9">
        <v>9.5</v>
      </c>
      <c r="AN153" s="15">
        <v>0.7</v>
      </c>
      <c r="AO153" s="9">
        <f t="shared" si="41"/>
        <v>0.9</v>
      </c>
      <c r="AP153" s="9">
        <v>8</v>
      </c>
      <c r="AQ153" s="9">
        <f t="shared" si="45"/>
        <v>0.1</v>
      </c>
      <c r="AR153" s="9">
        <v>2.5</v>
      </c>
      <c r="AS153" s="9">
        <v>0.6</v>
      </c>
      <c r="AT153" s="9">
        <v>0.4</v>
      </c>
      <c r="AU153" s="9">
        <v>31</v>
      </c>
      <c r="AV153" s="15">
        <v>0.4</v>
      </c>
      <c r="AW153" s="12">
        <v>0</v>
      </c>
      <c r="AX153" s="9">
        <v>0</v>
      </c>
      <c r="AY153" s="9">
        <v>0</v>
      </c>
      <c r="AZ153" s="9">
        <v>0</v>
      </c>
      <c r="BA153" s="9">
        <v>0</v>
      </c>
      <c r="BB153" s="9">
        <v>0</v>
      </c>
      <c r="BC153" s="9">
        <v>20</v>
      </c>
      <c r="BD153" s="9">
        <v>95</v>
      </c>
      <c r="BE153" s="9">
        <v>7</v>
      </c>
      <c r="BF153" s="9">
        <f t="shared" si="8"/>
        <v>0.3</v>
      </c>
      <c r="BG153" s="9">
        <f t="shared" si="32"/>
        <v>2</v>
      </c>
      <c r="BH153" s="9">
        <v>6</v>
      </c>
      <c r="BI153" s="9">
        <f t="shared" si="10"/>
        <v>0</v>
      </c>
      <c r="BJ153" s="9">
        <v>7</v>
      </c>
      <c r="BK153" s="9">
        <v>0.71</v>
      </c>
      <c r="BL153" s="15">
        <v>7</v>
      </c>
      <c r="BM153" s="14">
        <v>0.33</v>
      </c>
      <c r="BN153" s="8">
        <v>0</v>
      </c>
      <c r="BO153" s="14">
        <v>0</v>
      </c>
      <c r="BP153" s="14">
        <v>0</v>
      </c>
      <c r="BQ153" s="14">
        <f t="shared" si="46"/>
        <v>0.3</v>
      </c>
      <c r="BR153" s="15">
        <v>0</v>
      </c>
      <c r="BS153" s="15">
        <f t="shared" si="29"/>
        <v>5.8999999999999997E-2</v>
      </c>
      <c r="BT153" s="14">
        <v>0</v>
      </c>
      <c r="BU153" s="14">
        <v>0</v>
      </c>
      <c r="BV153" s="15">
        <v>130.5</v>
      </c>
      <c r="BW153" s="15">
        <v>0.14599999999999999</v>
      </c>
      <c r="BX153" s="15">
        <f t="shared" si="13"/>
        <v>0</v>
      </c>
      <c r="BY153" s="14">
        <f t="shared" si="14"/>
        <v>44.5</v>
      </c>
      <c r="BZ153" s="14">
        <f t="shared" si="15"/>
        <v>0</v>
      </c>
      <c r="CA153" s="14">
        <f t="shared" si="16"/>
        <v>0</v>
      </c>
      <c r="CB153" s="14">
        <f t="shared" si="17"/>
        <v>44.5</v>
      </c>
      <c r="CC153" s="15">
        <f t="shared" si="18"/>
        <v>0.70599999999999996</v>
      </c>
      <c r="CD153" s="14">
        <f t="shared" si="19"/>
        <v>31.42</v>
      </c>
      <c r="CE153" s="14">
        <f t="shared" si="20"/>
        <v>0.98</v>
      </c>
      <c r="CF153" s="14">
        <f t="shared" si="21"/>
        <v>30.79</v>
      </c>
      <c r="CG153" s="14">
        <f t="shared" si="22"/>
        <v>88</v>
      </c>
    </row>
    <row r="154" spans="1:85" ht="13.2" x14ac:dyDescent="0.25">
      <c r="A154" s="8">
        <v>1186941</v>
      </c>
      <c r="B154" s="9" t="s">
        <v>257</v>
      </c>
      <c r="C154" s="9" t="s">
        <v>179</v>
      </c>
      <c r="D154" s="9">
        <v>0</v>
      </c>
      <c r="E154" s="9">
        <v>1</v>
      </c>
      <c r="F154" s="9">
        <v>0</v>
      </c>
      <c r="G154" s="9">
        <v>0</v>
      </c>
      <c r="H154" s="9">
        <v>5</v>
      </c>
      <c r="I154" s="9">
        <v>6</v>
      </c>
      <c r="J154" s="11">
        <f t="shared" si="44"/>
        <v>0</v>
      </c>
      <c r="K154" s="10">
        <v>0</v>
      </c>
      <c r="L154" s="11">
        <v>0</v>
      </c>
      <c r="M154" s="11">
        <v>0.1</v>
      </c>
      <c r="N154" s="11" t="s">
        <v>180</v>
      </c>
      <c r="O154" s="11">
        <v>6</v>
      </c>
      <c r="P154" s="9" t="s">
        <v>88</v>
      </c>
      <c r="Q154" s="9">
        <v>0</v>
      </c>
      <c r="R154" s="9">
        <v>26</v>
      </c>
      <c r="S154" s="10">
        <v>0</v>
      </c>
      <c r="T154" s="9">
        <v>24.5</v>
      </c>
      <c r="U154" s="10">
        <f t="shared" si="1"/>
        <v>0.4</v>
      </c>
      <c r="V154" s="9">
        <v>24.33</v>
      </c>
      <c r="W154" s="10">
        <f t="shared" si="43"/>
        <v>0.1</v>
      </c>
      <c r="X154" s="10">
        <v>0</v>
      </c>
      <c r="Y154" s="10">
        <v>0</v>
      </c>
      <c r="Z154" s="10">
        <v>0</v>
      </c>
      <c r="AA154" s="10">
        <v>0</v>
      </c>
      <c r="AB154" s="9">
        <v>20.54</v>
      </c>
      <c r="AC154" s="9">
        <f t="shared" si="3"/>
        <v>3</v>
      </c>
      <c r="AD154" s="9">
        <v>0.5</v>
      </c>
      <c r="AE154" s="9">
        <v>0.05</v>
      </c>
      <c r="AF154" s="9">
        <v>1.25E-3</v>
      </c>
      <c r="AG154" s="9">
        <v>25</v>
      </c>
      <c r="AH154" s="9">
        <v>0.125</v>
      </c>
      <c r="AI154" s="13">
        <v>2</v>
      </c>
      <c r="AJ154" s="9">
        <f t="shared" si="4"/>
        <v>0</v>
      </c>
      <c r="AK154" s="9">
        <v>3</v>
      </c>
      <c r="AL154" s="9">
        <v>12.1</v>
      </c>
      <c r="AM154" s="9">
        <v>9.3699999999999992</v>
      </c>
      <c r="AN154" s="15">
        <v>0.6</v>
      </c>
      <c r="AO154" s="9">
        <f t="shared" si="41"/>
        <v>0.9</v>
      </c>
      <c r="AP154" s="9">
        <v>8.5</v>
      </c>
      <c r="AQ154" s="9">
        <f t="shared" si="45"/>
        <v>0.1</v>
      </c>
      <c r="AR154" s="9">
        <v>2.5</v>
      </c>
      <c r="AS154" s="9">
        <v>0.5</v>
      </c>
      <c r="AT154" s="9">
        <v>0.33</v>
      </c>
      <c r="AU154" s="9">
        <v>38</v>
      </c>
      <c r="AV154" s="15">
        <v>0.6</v>
      </c>
      <c r="AW154" s="12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12.1</v>
      </c>
      <c r="BD154" s="9">
        <v>38</v>
      </c>
      <c r="BE154" s="9">
        <v>7.5</v>
      </c>
      <c r="BF154" s="9">
        <f t="shared" si="8"/>
        <v>0.4</v>
      </c>
      <c r="BG154" s="9">
        <f t="shared" si="32"/>
        <v>2</v>
      </c>
      <c r="BH154" s="9">
        <v>6</v>
      </c>
      <c r="BI154" s="9">
        <f t="shared" si="10"/>
        <v>0</v>
      </c>
      <c r="BJ154" s="9">
        <v>7</v>
      </c>
      <c r="BK154" s="9">
        <v>0.71</v>
      </c>
      <c r="BL154" s="15">
        <v>7</v>
      </c>
      <c r="BM154" s="14">
        <v>0.33</v>
      </c>
      <c r="BN154" s="8">
        <v>0</v>
      </c>
      <c r="BO154" s="14">
        <v>0</v>
      </c>
      <c r="BP154" s="14">
        <v>0</v>
      </c>
      <c r="BQ154" s="14">
        <f t="shared" si="46"/>
        <v>0.3</v>
      </c>
      <c r="BR154" s="15">
        <v>0</v>
      </c>
      <c r="BS154" s="15">
        <f t="shared" si="29"/>
        <v>6.7000000000000004E-2</v>
      </c>
      <c r="BT154" s="14">
        <v>0</v>
      </c>
      <c r="BU154" s="14">
        <v>0</v>
      </c>
      <c r="BV154" s="15">
        <v>67.3</v>
      </c>
      <c r="BW154" s="15">
        <v>7.8E-2</v>
      </c>
      <c r="BX154" s="15">
        <f t="shared" si="13"/>
        <v>0</v>
      </c>
      <c r="BY154" s="14">
        <f t="shared" si="14"/>
        <v>44.400000000000006</v>
      </c>
      <c r="BZ154" s="14">
        <f t="shared" si="15"/>
        <v>0</v>
      </c>
      <c r="CA154" s="14">
        <f t="shared" si="16"/>
        <v>0</v>
      </c>
      <c r="CB154" s="14">
        <f t="shared" si="17"/>
        <v>44.400000000000006</v>
      </c>
      <c r="CC154" s="15">
        <f t="shared" si="18"/>
        <v>0.70699999999999996</v>
      </c>
      <c r="CD154" s="14">
        <f t="shared" si="19"/>
        <v>31.39</v>
      </c>
      <c r="CE154" s="14">
        <f t="shared" si="20"/>
        <v>0.98</v>
      </c>
      <c r="CF154" s="14">
        <f t="shared" si="21"/>
        <v>30.76</v>
      </c>
      <c r="CG154" s="14">
        <f t="shared" si="22"/>
        <v>89</v>
      </c>
    </row>
    <row r="155" spans="1:85" ht="13.2" x14ac:dyDescent="0.25">
      <c r="A155" s="8">
        <v>604955</v>
      </c>
      <c r="B155" s="9" t="s">
        <v>165</v>
      </c>
      <c r="C155" s="9" t="s">
        <v>179</v>
      </c>
      <c r="D155" s="9">
        <v>0</v>
      </c>
      <c r="E155" s="9">
        <v>1</v>
      </c>
      <c r="F155" s="9">
        <v>0</v>
      </c>
      <c r="G155" s="9">
        <v>0</v>
      </c>
      <c r="H155" s="9">
        <v>7</v>
      </c>
      <c r="I155" s="9">
        <v>6</v>
      </c>
      <c r="J155" s="11">
        <f t="shared" si="44"/>
        <v>0</v>
      </c>
      <c r="K155" s="10">
        <v>0</v>
      </c>
      <c r="L155" s="11">
        <v>0</v>
      </c>
      <c r="M155" s="11">
        <v>0.1</v>
      </c>
      <c r="N155" s="11" t="s">
        <v>180</v>
      </c>
      <c r="O155" s="11">
        <v>6</v>
      </c>
      <c r="P155" s="9" t="s">
        <v>258</v>
      </c>
      <c r="Q155" s="9">
        <v>1</v>
      </c>
      <c r="R155" s="9">
        <v>39</v>
      </c>
      <c r="S155" s="10">
        <v>0</v>
      </c>
      <c r="T155" s="9">
        <v>0</v>
      </c>
      <c r="U155" s="10">
        <f t="shared" si="1"/>
        <v>0</v>
      </c>
      <c r="V155" s="9">
        <v>28</v>
      </c>
      <c r="W155" s="10">
        <f t="shared" si="43"/>
        <v>0.1</v>
      </c>
      <c r="X155" s="10">
        <v>0</v>
      </c>
      <c r="Y155" s="10">
        <v>0</v>
      </c>
      <c r="Z155" s="10">
        <v>0</v>
      </c>
      <c r="AA155" s="10">
        <v>0</v>
      </c>
      <c r="AB155" s="9">
        <v>23.67</v>
      </c>
      <c r="AC155" s="9">
        <f t="shared" si="3"/>
        <v>3</v>
      </c>
      <c r="AD155" s="9">
        <v>0.5</v>
      </c>
      <c r="AE155" s="9">
        <v>0.7</v>
      </c>
      <c r="AF155" s="9">
        <v>1.7500000000000002E-2</v>
      </c>
      <c r="AG155" s="9">
        <v>1.8</v>
      </c>
      <c r="AH155" s="9">
        <v>8.9999999999999993E-3</v>
      </c>
      <c r="AI155" s="13">
        <v>45</v>
      </c>
      <c r="AJ155" s="9">
        <f t="shared" si="4"/>
        <v>0.5</v>
      </c>
      <c r="AK155" s="9">
        <v>3</v>
      </c>
      <c r="AL155" s="9">
        <v>14</v>
      </c>
      <c r="AM155" s="9">
        <v>10.07</v>
      </c>
      <c r="AN155" s="15">
        <v>0.2</v>
      </c>
      <c r="AO155" s="9">
        <f t="shared" si="41"/>
        <v>0.9</v>
      </c>
      <c r="AP155" s="9">
        <v>8.5</v>
      </c>
      <c r="AQ155" s="9">
        <f t="shared" si="45"/>
        <v>0.1</v>
      </c>
      <c r="AR155" s="9">
        <v>2.5</v>
      </c>
      <c r="AS155" s="9">
        <v>0.5</v>
      </c>
      <c r="AT155" s="9">
        <v>0.33</v>
      </c>
      <c r="AU155" s="9">
        <v>40</v>
      </c>
      <c r="AV155" s="15">
        <v>0.7</v>
      </c>
      <c r="AW155" s="12">
        <v>0</v>
      </c>
      <c r="AX155" s="9">
        <v>0</v>
      </c>
      <c r="AY155" s="9">
        <v>0</v>
      </c>
      <c r="AZ155" s="9">
        <v>0</v>
      </c>
      <c r="BA155" s="9">
        <v>0</v>
      </c>
      <c r="BB155" s="9">
        <v>0</v>
      </c>
      <c r="BC155" s="9">
        <v>14</v>
      </c>
      <c r="BD155" s="9">
        <v>47</v>
      </c>
      <c r="BE155" s="9">
        <v>7</v>
      </c>
      <c r="BF155" s="9">
        <f t="shared" si="8"/>
        <v>0.3</v>
      </c>
      <c r="BG155" s="9">
        <f t="shared" si="32"/>
        <v>2</v>
      </c>
      <c r="BH155" s="9">
        <v>6</v>
      </c>
      <c r="BI155" s="9">
        <f t="shared" si="10"/>
        <v>0</v>
      </c>
      <c r="BJ155" s="9">
        <v>7</v>
      </c>
      <c r="BK155" s="9">
        <v>0.14000000000000001</v>
      </c>
      <c r="BL155" s="15">
        <v>7</v>
      </c>
      <c r="BM155" s="14">
        <v>0.33</v>
      </c>
      <c r="BN155" s="8">
        <v>0</v>
      </c>
      <c r="BO155" s="14">
        <v>0</v>
      </c>
      <c r="BP155" s="14">
        <v>0</v>
      </c>
      <c r="BQ155" s="14">
        <f t="shared" si="46"/>
        <v>0.3</v>
      </c>
      <c r="BR155" s="15">
        <v>0.55000000000000004</v>
      </c>
      <c r="BS155" s="15">
        <f t="shared" si="29"/>
        <v>5.3549999999999993E-2</v>
      </c>
      <c r="BT155" s="14">
        <v>0</v>
      </c>
      <c r="BU155" s="14">
        <v>0</v>
      </c>
      <c r="BV155" s="15">
        <v>89.1</v>
      </c>
      <c r="BW155" s="15">
        <v>0.10199999999999999</v>
      </c>
      <c r="BX155" s="15">
        <f t="shared" si="13"/>
        <v>0</v>
      </c>
      <c r="BY155" s="14">
        <f t="shared" si="14"/>
        <v>41.900000000000006</v>
      </c>
      <c r="BZ155" s="14">
        <f t="shared" si="15"/>
        <v>0</v>
      </c>
      <c r="CA155" s="14">
        <f t="shared" si="16"/>
        <v>0</v>
      </c>
      <c r="CB155" s="14">
        <f t="shared" si="17"/>
        <v>41.900000000000006</v>
      </c>
      <c r="CC155" s="15">
        <f t="shared" si="18"/>
        <v>0.81499999999999995</v>
      </c>
      <c r="CD155" s="14">
        <f t="shared" si="19"/>
        <v>34.15</v>
      </c>
      <c r="CE155" s="14">
        <f t="shared" si="20"/>
        <v>0.98</v>
      </c>
      <c r="CF155" s="14">
        <f t="shared" si="21"/>
        <v>33.47</v>
      </c>
      <c r="CG155" s="14">
        <f t="shared" si="22"/>
        <v>69</v>
      </c>
    </row>
    <row r="156" spans="1:85" ht="13.2" x14ac:dyDescent="0.25">
      <c r="A156" s="8">
        <v>1159629</v>
      </c>
      <c r="B156" s="12" t="s">
        <v>259</v>
      </c>
      <c r="C156" s="12" t="s">
        <v>260</v>
      </c>
      <c r="D156" s="9">
        <v>0</v>
      </c>
      <c r="E156" s="9">
        <v>0</v>
      </c>
      <c r="F156" s="9">
        <v>1</v>
      </c>
      <c r="G156" s="9">
        <v>0</v>
      </c>
      <c r="H156" s="12">
        <v>61</v>
      </c>
      <c r="I156" s="12">
        <v>59</v>
      </c>
      <c r="J156" s="11">
        <f t="shared" si="44"/>
        <v>0.4</v>
      </c>
      <c r="K156" s="12">
        <v>546</v>
      </c>
      <c r="L156" s="12">
        <v>26.3</v>
      </c>
      <c r="M156" s="12">
        <v>0.1</v>
      </c>
      <c r="N156" s="12" t="s">
        <v>96</v>
      </c>
      <c r="O156" s="12">
        <v>6</v>
      </c>
      <c r="P156" s="12" t="s">
        <v>94</v>
      </c>
      <c r="Q156" s="12">
        <v>1</v>
      </c>
      <c r="R156" s="12">
        <v>27</v>
      </c>
      <c r="S156" s="12">
        <v>63</v>
      </c>
      <c r="T156" s="12">
        <v>34.81</v>
      </c>
      <c r="U156" s="10">
        <f t="shared" si="1"/>
        <v>0.6</v>
      </c>
      <c r="V156" s="12">
        <v>129.38</v>
      </c>
      <c r="W156" s="10">
        <f t="shared" si="43"/>
        <v>0.5</v>
      </c>
      <c r="X156" s="12">
        <v>85</v>
      </c>
      <c r="Y156" s="12">
        <v>40</v>
      </c>
      <c r="Z156" s="12">
        <v>4</v>
      </c>
      <c r="AA156" s="12">
        <v>3</v>
      </c>
      <c r="AB156" s="12">
        <v>18.5</v>
      </c>
      <c r="AC156" s="9">
        <f t="shared" si="3"/>
        <v>3</v>
      </c>
      <c r="AD156" s="12">
        <v>2</v>
      </c>
      <c r="AE156" s="12">
        <v>0.8</v>
      </c>
      <c r="AF156" s="12">
        <v>0.02</v>
      </c>
      <c r="AG156" s="12">
        <v>2.2000000000000002</v>
      </c>
      <c r="AH156" s="12">
        <v>1.0999999999999999E-2</v>
      </c>
      <c r="AI156" s="24">
        <v>38</v>
      </c>
      <c r="AJ156" s="9">
        <f t="shared" si="4"/>
        <v>0.4</v>
      </c>
      <c r="AK156" s="12">
        <v>26</v>
      </c>
      <c r="AL156" s="12">
        <v>88.5</v>
      </c>
      <c r="AM156" s="12">
        <v>10.19</v>
      </c>
      <c r="AN156" s="15">
        <v>0.7</v>
      </c>
      <c r="AO156" s="9">
        <f t="shared" si="41"/>
        <v>0.8</v>
      </c>
      <c r="AP156" s="12">
        <v>7.3</v>
      </c>
      <c r="AQ156" s="9">
        <f t="shared" si="45"/>
        <v>0.1</v>
      </c>
      <c r="AR156" s="12">
        <v>2.5</v>
      </c>
      <c r="AS156" s="12">
        <v>0.7</v>
      </c>
      <c r="AT156" s="12">
        <v>0.47</v>
      </c>
      <c r="AU156" s="12">
        <v>35</v>
      </c>
      <c r="AV156" s="15">
        <v>0.6</v>
      </c>
      <c r="AW156" s="12">
        <v>45</v>
      </c>
      <c r="AX156" s="9">
        <v>0</v>
      </c>
      <c r="AY156" s="12">
        <v>0</v>
      </c>
      <c r="AZ156" s="9">
        <v>0</v>
      </c>
      <c r="BA156" s="12">
        <v>0</v>
      </c>
      <c r="BB156" s="9">
        <v>0</v>
      </c>
      <c r="BC156" s="12">
        <v>55</v>
      </c>
      <c r="BD156" s="12">
        <v>28</v>
      </c>
      <c r="BE156" s="12">
        <v>7.5</v>
      </c>
      <c r="BF156" s="9">
        <f t="shared" si="8"/>
        <v>0.4</v>
      </c>
      <c r="BG156" s="9">
        <f t="shared" si="32"/>
        <v>1</v>
      </c>
      <c r="BH156" s="12">
        <v>6</v>
      </c>
      <c r="BI156" s="9">
        <f t="shared" si="10"/>
        <v>0</v>
      </c>
      <c r="BJ156" s="9">
        <v>3</v>
      </c>
      <c r="BK156" s="9">
        <v>0.86</v>
      </c>
      <c r="BL156" s="15">
        <v>7</v>
      </c>
      <c r="BM156" s="14">
        <v>0.33</v>
      </c>
      <c r="BN156" s="8">
        <v>5.0999999999999996</v>
      </c>
      <c r="BO156" s="14">
        <v>0</v>
      </c>
      <c r="BP156" s="14">
        <v>0</v>
      </c>
      <c r="BQ156" s="14">
        <v>0</v>
      </c>
      <c r="BR156" s="15">
        <v>0</v>
      </c>
      <c r="BS156" s="15">
        <f t="shared" si="29"/>
        <v>11.950000000000001</v>
      </c>
      <c r="BT156" s="14">
        <v>0</v>
      </c>
      <c r="BU156" s="14">
        <v>0</v>
      </c>
      <c r="BV156" s="15">
        <v>548.91999999999996</v>
      </c>
      <c r="BW156" s="15">
        <v>0.59899999999999998</v>
      </c>
      <c r="BX156" s="15">
        <f t="shared" si="13"/>
        <v>0</v>
      </c>
      <c r="BY156" s="14">
        <f t="shared" si="14"/>
        <v>0</v>
      </c>
      <c r="BZ156" s="14">
        <f t="shared" si="15"/>
        <v>18</v>
      </c>
      <c r="CA156" s="14">
        <f t="shared" si="16"/>
        <v>0</v>
      </c>
      <c r="CB156" s="14">
        <f t="shared" si="17"/>
        <v>18</v>
      </c>
      <c r="CC156" s="15">
        <f t="shared" si="18"/>
        <v>1.895</v>
      </c>
      <c r="CD156" s="14">
        <f t="shared" si="19"/>
        <v>34.11</v>
      </c>
      <c r="CE156" s="14">
        <f t="shared" si="20"/>
        <v>0.98499999999999999</v>
      </c>
      <c r="CF156" s="14">
        <f t="shared" si="21"/>
        <v>33.6</v>
      </c>
      <c r="CG156" s="14">
        <f t="shared" si="22"/>
        <v>68</v>
      </c>
    </row>
    <row r="157" spans="1:85" ht="13.2" x14ac:dyDescent="0.25">
      <c r="A157" s="8">
        <v>325026</v>
      </c>
      <c r="B157" s="12" t="s">
        <v>261</v>
      </c>
      <c r="C157" s="12" t="s">
        <v>260</v>
      </c>
      <c r="D157" s="9">
        <v>0</v>
      </c>
      <c r="E157" s="9">
        <f>IF(TRIM(C156)="Bowler",1,0)</f>
        <v>0</v>
      </c>
      <c r="F157" s="9">
        <v>1</v>
      </c>
      <c r="G157" s="9">
        <v>0</v>
      </c>
      <c r="H157" s="12">
        <v>66</v>
      </c>
      <c r="I157" s="12">
        <v>60</v>
      </c>
      <c r="J157" s="11">
        <f t="shared" si="44"/>
        <v>0.4</v>
      </c>
      <c r="K157" s="12">
        <v>596</v>
      </c>
      <c r="L157" s="12">
        <v>1.7</v>
      </c>
      <c r="M157" s="12">
        <v>0.1</v>
      </c>
      <c r="N157" s="12" t="s">
        <v>96</v>
      </c>
      <c r="O157" s="12">
        <v>3</v>
      </c>
      <c r="P157" s="12" t="s">
        <v>88</v>
      </c>
      <c r="Q157" s="12">
        <v>0</v>
      </c>
      <c r="R157" s="12">
        <v>30</v>
      </c>
      <c r="S157" s="12">
        <v>69</v>
      </c>
      <c r="T157" s="12">
        <v>37.18</v>
      </c>
      <c r="U157" s="10">
        <f t="shared" si="1"/>
        <v>0.7</v>
      </c>
      <c r="V157" s="12">
        <v>137.33000000000001</v>
      </c>
      <c r="W157" s="10">
        <f t="shared" si="43"/>
        <v>0.6</v>
      </c>
      <c r="X157" s="12">
        <v>150</v>
      </c>
      <c r="Y157" s="12">
        <v>130</v>
      </c>
      <c r="Z157" s="12">
        <v>7</v>
      </c>
      <c r="AA157" s="12">
        <v>2</v>
      </c>
      <c r="AB157" s="12">
        <v>14.25</v>
      </c>
      <c r="AC157" s="9">
        <f t="shared" si="3"/>
        <v>3</v>
      </c>
      <c r="AD157" s="12">
        <v>2</v>
      </c>
      <c r="AE157" s="12">
        <v>0.6</v>
      </c>
      <c r="AF157" s="12">
        <v>1.4999999999999999E-2</v>
      </c>
      <c r="AG157" s="12">
        <v>2.5</v>
      </c>
      <c r="AH157" s="12">
        <v>1.2999999999999999E-2</v>
      </c>
      <c r="AI157" s="24">
        <v>55</v>
      </c>
      <c r="AJ157" s="9">
        <f t="shared" si="4"/>
        <v>0.6</v>
      </c>
      <c r="AK157" s="12">
        <v>17</v>
      </c>
      <c r="AL157" s="12">
        <v>65</v>
      </c>
      <c r="AM157" s="12">
        <v>9.7200000000000006</v>
      </c>
      <c r="AN157" s="15">
        <v>0.4</v>
      </c>
      <c r="AO157" s="9">
        <f t="shared" si="41"/>
        <v>0.7</v>
      </c>
      <c r="AP157" s="12">
        <v>6.4</v>
      </c>
      <c r="AQ157" s="9">
        <f t="shared" si="45"/>
        <v>0.1</v>
      </c>
      <c r="AR157" s="12">
        <v>2.5</v>
      </c>
      <c r="AS157" s="12">
        <v>0.6</v>
      </c>
      <c r="AT157" s="12">
        <v>0.4</v>
      </c>
      <c r="AU157" s="12">
        <v>31</v>
      </c>
      <c r="AV157" s="15">
        <v>0.4</v>
      </c>
      <c r="AW157" s="12">
        <v>60</v>
      </c>
      <c r="AX157" s="9">
        <v>0.5</v>
      </c>
      <c r="AY157" s="12">
        <v>0</v>
      </c>
      <c r="AZ157" s="9">
        <v>0</v>
      </c>
      <c r="BA157" s="12">
        <v>0</v>
      </c>
      <c r="BB157" s="9">
        <v>0</v>
      </c>
      <c r="BC157" s="12">
        <v>40</v>
      </c>
      <c r="BD157" s="12">
        <v>27</v>
      </c>
      <c r="BE157" s="12">
        <v>7</v>
      </c>
      <c r="BF157" s="9">
        <f t="shared" si="8"/>
        <v>0.3</v>
      </c>
      <c r="BG157" s="9">
        <f t="shared" si="32"/>
        <v>1</v>
      </c>
      <c r="BH157" s="12">
        <v>6</v>
      </c>
      <c r="BI157" s="9">
        <f t="shared" si="10"/>
        <v>0</v>
      </c>
      <c r="BJ157" s="9">
        <v>8</v>
      </c>
      <c r="BK157" s="9">
        <v>0.71</v>
      </c>
      <c r="BL157" s="15">
        <v>7</v>
      </c>
      <c r="BM157" s="14">
        <v>0.33</v>
      </c>
      <c r="BN157" s="8">
        <v>0.6</v>
      </c>
      <c r="BO157" s="14">
        <v>0</v>
      </c>
      <c r="BP157" s="14">
        <v>0</v>
      </c>
      <c r="BQ157" s="14">
        <v>0</v>
      </c>
      <c r="BR157" s="15">
        <v>0</v>
      </c>
      <c r="BS157" s="15">
        <f t="shared" si="29"/>
        <v>0.89600000000000002</v>
      </c>
      <c r="BT157" s="14">
        <v>0</v>
      </c>
      <c r="BU157" s="14">
        <v>0</v>
      </c>
      <c r="BV157" s="15">
        <v>347.99</v>
      </c>
      <c r="BW157" s="15">
        <v>0.38200000000000001</v>
      </c>
      <c r="BX157" s="15">
        <f t="shared" si="13"/>
        <v>0</v>
      </c>
      <c r="BY157" s="14">
        <f t="shared" si="14"/>
        <v>0</v>
      </c>
      <c r="BZ157" s="14">
        <f t="shared" si="15"/>
        <v>10.25</v>
      </c>
      <c r="CA157" s="14">
        <f t="shared" si="16"/>
        <v>0</v>
      </c>
      <c r="CB157" s="14">
        <f t="shared" si="17"/>
        <v>10.25</v>
      </c>
      <c r="CC157" s="15">
        <f t="shared" si="18"/>
        <v>0.79</v>
      </c>
      <c r="CD157" s="14">
        <f t="shared" si="19"/>
        <v>8.1</v>
      </c>
      <c r="CE157" s="14">
        <f t="shared" si="20"/>
        <v>0.98499999999999999</v>
      </c>
      <c r="CF157" s="14">
        <f t="shared" si="21"/>
        <v>7.98</v>
      </c>
      <c r="CG157" s="14">
        <f t="shared" si="22"/>
        <v>180</v>
      </c>
    </row>
    <row r="158" spans="1:85" ht="13.2" x14ac:dyDescent="0.25">
      <c r="A158" s="8">
        <v>1213875</v>
      </c>
      <c r="B158" s="9" t="s">
        <v>262</v>
      </c>
      <c r="C158" s="9" t="s">
        <v>260</v>
      </c>
      <c r="D158" s="9">
        <v>0</v>
      </c>
      <c r="E158" s="9">
        <v>0</v>
      </c>
      <c r="F158" s="9">
        <f t="shared" ref="F158:F159" si="47">IF(TRIM(C157)="All-rounder",1,0)</f>
        <v>1</v>
      </c>
      <c r="G158" s="9">
        <v>0</v>
      </c>
      <c r="H158" s="9">
        <v>11</v>
      </c>
      <c r="I158" s="9">
        <v>7</v>
      </c>
      <c r="J158" s="11">
        <f t="shared" si="44"/>
        <v>0</v>
      </c>
      <c r="K158" s="9">
        <v>57</v>
      </c>
      <c r="L158" s="9">
        <v>3.9</v>
      </c>
      <c r="M158" s="9">
        <v>0.1</v>
      </c>
      <c r="N158" s="9" t="s">
        <v>263</v>
      </c>
      <c r="O158" s="9">
        <v>3</v>
      </c>
      <c r="P158" s="9" t="s">
        <v>97</v>
      </c>
      <c r="Q158" s="9">
        <v>1</v>
      </c>
      <c r="R158" s="9">
        <v>30</v>
      </c>
      <c r="S158" s="9">
        <v>0</v>
      </c>
      <c r="T158" s="9">
        <v>159</v>
      </c>
      <c r="U158" s="10">
        <f t="shared" si="1"/>
        <v>2.9</v>
      </c>
      <c r="V158" s="9">
        <v>259.08999999999997</v>
      </c>
      <c r="W158" s="10">
        <f t="shared" si="43"/>
        <v>1.1000000000000001</v>
      </c>
      <c r="X158" s="9">
        <v>55</v>
      </c>
      <c r="Y158" s="9">
        <v>75</v>
      </c>
      <c r="Z158" s="9">
        <v>1</v>
      </c>
      <c r="AA158" s="9">
        <v>0</v>
      </c>
      <c r="AB158" s="9">
        <v>1.5</v>
      </c>
      <c r="AC158" s="9">
        <f t="shared" si="3"/>
        <v>1</v>
      </c>
      <c r="AD158" s="12">
        <v>2</v>
      </c>
      <c r="AE158" s="9">
        <v>0.6</v>
      </c>
      <c r="AF158" s="9">
        <v>1.4999999999999999E-2</v>
      </c>
      <c r="AG158" s="9">
        <v>1.6</v>
      </c>
      <c r="AH158" s="9">
        <v>8.0000000000000002E-3</v>
      </c>
      <c r="AI158" s="13">
        <v>36</v>
      </c>
      <c r="AJ158" s="9">
        <f t="shared" si="4"/>
        <v>0.4</v>
      </c>
      <c r="AK158" s="9">
        <v>1</v>
      </c>
      <c r="AL158" s="9">
        <v>2</v>
      </c>
      <c r="AM158" s="9">
        <v>13.25</v>
      </c>
      <c r="AN158" s="15">
        <v>0.6</v>
      </c>
      <c r="AO158" s="9">
        <f t="shared" si="41"/>
        <v>0.7</v>
      </c>
      <c r="AP158" s="9">
        <v>5.95</v>
      </c>
      <c r="AQ158" s="9">
        <f t="shared" si="45"/>
        <v>0</v>
      </c>
      <c r="AR158" s="9">
        <v>2</v>
      </c>
      <c r="AS158" s="9">
        <v>0.55000000000000004</v>
      </c>
      <c r="AT158" s="9">
        <v>0.37</v>
      </c>
      <c r="AU158" s="9">
        <v>30</v>
      </c>
      <c r="AV158" s="15">
        <v>0.4</v>
      </c>
      <c r="AW158" s="9">
        <v>55</v>
      </c>
      <c r="AX158" s="9">
        <v>0.6</v>
      </c>
      <c r="AY158" s="9">
        <v>0</v>
      </c>
      <c r="AZ158" s="9">
        <v>0</v>
      </c>
      <c r="BA158" s="9">
        <v>0</v>
      </c>
      <c r="BB158" s="9">
        <v>0</v>
      </c>
      <c r="BC158" s="9">
        <v>45</v>
      </c>
      <c r="BD158" s="9">
        <v>33</v>
      </c>
      <c r="BE158" s="9">
        <v>7.5</v>
      </c>
      <c r="BF158" s="9">
        <f t="shared" si="8"/>
        <v>0.4</v>
      </c>
      <c r="BG158" s="9">
        <f t="shared" si="32"/>
        <v>2</v>
      </c>
      <c r="BH158" s="9">
        <v>6</v>
      </c>
      <c r="BI158" s="9">
        <f t="shared" si="10"/>
        <v>0</v>
      </c>
      <c r="BJ158" s="9">
        <v>7</v>
      </c>
      <c r="BK158" s="9">
        <v>1</v>
      </c>
      <c r="BL158" s="15">
        <v>8</v>
      </c>
      <c r="BM158" s="14">
        <v>0.67</v>
      </c>
      <c r="BN158" s="8">
        <v>1.1000000000000001</v>
      </c>
      <c r="BO158" s="14">
        <v>0</v>
      </c>
      <c r="BP158" s="14">
        <v>0</v>
      </c>
      <c r="BQ158" s="14">
        <v>0</v>
      </c>
      <c r="BR158" s="15">
        <v>0</v>
      </c>
      <c r="BS158" s="15">
        <f t="shared" si="29"/>
        <v>1.8699999999999999</v>
      </c>
      <c r="BT158" s="14">
        <v>0</v>
      </c>
      <c r="BU158" s="14">
        <v>0</v>
      </c>
      <c r="BV158" s="15">
        <v>399.64</v>
      </c>
      <c r="BW158" s="15">
        <v>0.438</v>
      </c>
      <c r="BX158" s="15">
        <f t="shared" si="13"/>
        <v>0</v>
      </c>
      <c r="BY158" s="14">
        <f t="shared" si="14"/>
        <v>0</v>
      </c>
      <c r="BZ158" s="14">
        <f t="shared" si="15"/>
        <v>13.667</v>
      </c>
      <c r="CA158" s="14">
        <f t="shared" si="16"/>
        <v>0</v>
      </c>
      <c r="CB158" s="14">
        <f t="shared" si="17"/>
        <v>13.667</v>
      </c>
      <c r="CC158" s="15">
        <f t="shared" si="18"/>
        <v>0.88700000000000001</v>
      </c>
      <c r="CD158" s="14">
        <f t="shared" si="19"/>
        <v>12.12</v>
      </c>
      <c r="CE158" s="14">
        <f t="shared" si="20"/>
        <v>1</v>
      </c>
      <c r="CF158" s="14">
        <f t="shared" si="21"/>
        <v>12.12</v>
      </c>
      <c r="CG158" s="14">
        <f t="shared" si="22"/>
        <v>177</v>
      </c>
    </row>
    <row r="159" spans="1:85" ht="13.2" x14ac:dyDescent="0.25">
      <c r="A159" s="8">
        <v>1161489</v>
      </c>
      <c r="B159" s="9" t="s">
        <v>165</v>
      </c>
      <c r="C159" s="9" t="s">
        <v>260</v>
      </c>
      <c r="D159" s="9">
        <v>0</v>
      </c>
      <c r="E159" s="9">
        <v>0</v>
      </c>
      <c r="F159" s="9">
        <f t="shared" si="47"/>
        <v>1</v>
      </c>
      <c r="G159" s="9">
        <v>0</v>
      </c>
      <c r="H159" s="9">
        <v>11</v>
      </c>
      <c r="I159" s="9">
        <v>9</v>
      </c>
      <c r="J159" s="11">
        <f t="shared" si="44"/>
        <v>0.1</v>
      </c>
      <c r="K159" s="9">
        <v>182</v>
      </c>
      <c r="L159" s="9">
        <v>8.6</v>
      </c>
      <c r="M159" s="9">
        <v>0.1</v>
      </c>
      <c r="N159" s="9" t="s">
        <v>263</v>
      </c>
      <c r="O159" s="9">
        <v>4</v>
      </c>
      <c r="P159" s="9" t="s">
        <v>164</v>
      </c>
      <c r="Q159" s="9">
        <v>1</v>
      </c>
      <c r="R159" s="9">
        <v>29</v>
      </c>
      <c r="S159" s="9">
        <v>0</v>
      </c>
      <c r="T159" s="9">
        <v>47</v>
      </c>
      <c r="U159" s="10">
        <f t="shared" si="1"/>
        <v>0.8</v>
      </c>
      <c r="V159" s="9">
        <v>133.82</v>
      </c>
      <c r="W159" s="10">
        <f t="shared" si="43"/>
        <v>0.5</v>
      </c>
      <c r="X159" s="9">
        <v>70</v>
      </c>
      <c r="Y159" s="9">
        <v>55</v>
      </c>
      <c r="Z159" s="9">
        <v>2</v>
      </c>
      <c r="AA159" s="9">
        <v>0</v>
      </c>
      <c r="AB159" s="9">
        <v>0</v>
      </c>
      <c r="AC159" s="9">
        <f t="shared" si="3"/>
        <v>1</v>
      </c>
      <c r="AD159" s="12">
        <v>2</v>
      </c>
      <c r="AE159" s="9">
        <v>0.4</v>
      </c>
      <c r="AF159" s="9">
        <v>0.01</v>
      </c>
      <c r="AG159" s="9">
        <v>3</v>
      </c>
      <c r="AH159" s="9">
        <v>1.4999999999999999E-2</v>
      </c>
      <c r="AI159" s="13">
        <v>25</v>
      </c>
      <c r="AJ159" s="9">
        <f t="shared" si="4"/>
        <v>0.3</v>
      </c>
      <c r="AK159" s="9">
        <v>3</v>
      </c>
      <c r="AL159" s="9">
        <v>3</v>
      </c>
      <c r="AM159" s="9">
        <v>10.07</v>
      </c>
      <c r="AN159" s="15">
        <v>0.5</v>
      </c>
      <c r="AO159" s="9">
        <f t="shared" si="41"/>
        <v>0.6</v>
      </c>
      <c r="AP159" s="9">
        <v>5.05</v>
      </c>
      <c r="AQ159" s="9">
        <f t="shared" si="45"/>
        <v>0.1</v>
      </c>
      <c r="AR159" s="9">
        <v>2.5</v>
      </c>
      <c r="AS159" s="9">
        <v>0.45</v>
      </c>
      <c r="AT159" s="9">
        <v>0.3</v>
      </c>
      <c r="AU159" s="9">
        <v>27</v>
      </c>
      <c r="AV159" s="15">
        <v>0.3</v>
      </c>
      <c r="AW159" s="9">
        <v>50</v>
      </c>
      <c r="AX159" s="9">
        <v>0.6</v>
      </c>
      <c r="AY159" s="9">
        <v>0</v>
      </c>
      <c r="AZ159" s="9">
        <v>0</v>
      </c>
      <c r="BA159" s="9">
        <v>0</v>
      </c>
      <c r="BB159" s="9">
        <v>0</v>
      </c>
      <c r="BC159" s="9">
        <v>50</v>
      </c>
      <c r="BD159" s="9">
        <v>36</v>
      </c>
      <c r="BE159" s="9">
        <v>7</v>
      </c>
      <c r="BF159" s="9">
        <f t="shared" si="8"/>
        <v>0.3</v>
      </c>
      <c r="BG159" s="9">
        <f t="shared" si="32"/>
        <v>2</v>
      </c>
      <c r="BH159" s="9">
        <v>6</v>
      </c>
      <c r="BI159" s="9">
        <f t="shared" si="10"/>
        <v>0</v>
      </c>
      <c r="BJ159" s="9">
        <v>9</v>
      </c>
      <c r="BK159" s="9">
        <v>0.86</v>
      </c>
      <c r="BL159" s="15">
        <v>7</v>
      </c>
      <c r="BM159" s="14">
        <v>0.33</v>
      </c>
      <c r="BN159" s="8">
        <v>1.9</v>
      </c>
      <c r="BO159" s="14">
        <v>0</v>
      </c>
      <c r="BP159" s="14">
        <v>0</v>
      </c>
      <c r="BQ159" s="14">
        <v>0</v>
      </c>
      <c r="BR159" s="15">
        <v>0.66</v>
      </c>
      <c r="BS159" s="15">
        <f t="shared" si="29"/>
        <v>1.3481000000000001</v>
      </c>
      <c r="BT159" s="14">
        <v>0</v>
      </c>
      <c r="BU159" s="14">
        <v>0</v>
      </c>
      <c r="BV159" s="15">
        <v>433.1</v>
      </c>
      <c r="BW159" s="15">
        <v>0.47399999999999998</v>
      </c>
      <c r="BX159" s="15">
        <f t="shared" si="13"/>
        <v>0</v>
      </c>
      <c r="BY159" s="14">
        <f t="shared" si="14"/>
        <v>0</v>
      </c>
      <c r="BZ159" s="14">
        <f t="shared" si="15"/>
        <v>16.082999999999998</v>
      </c>
      <c r="CA159" s="14">
        <f t="shared" si="16"/>
        <v>0</v>
      </c>
      <c r="CB159" s="14">
        <f t="shared" si="17"/>
        <v>16.082999999999998</v>
      </c>
      <c r="CC159" s="15">
        <f t="shared" si="18"/>
        <v>0.96699999999999997</v>
      </c>
      <c r="CD159" s="14">
        <f t="shared" si="19"/>
        <v>15.55</v>
      </c>
      <c r="CE159" s="14">
        <f t="shared" si="20"/>
        <v>0.98499999999999999</v>
      </c>
      <c r="CF159" s="14">
        <f t="shared" si="21"/>
        <v>15.32</v>
      </c>
      <c r="CG159" s="14">
        <f t="shared" si="22"/>
        <v>175</v>
      </c>
    </row>
    <row r="160" spans="1:85" ht="13.2" x14ac:dyDescent="0.25">
      <c r="A160" s="8">
        <v>971349</v>
      </c>
      <c r="B160" s="12" t="s">
        <v>264</v>
      </c>
      <c r="C160" s="12" t="s">
        <v>260</v>
      </c>
      <c r="D160" s="9">
        <v>0</v>
      </c>
      <c r="E160" s="9">
        <v>0</v>
      </c>
      <c r="F160" s="9">
        <v>1</v>
      </c>
      <c r="G160" s="9">
        <v>0</v>
      </c>
      <c r="H160" s="12">
        <v>37</v>
      </c>
      <c r="I160" s="12">
        <v>52</v>
      </c>
      <c r="J160" s="11">
        <f t="shared" si="44"/>
        <v>0.1</v>
      </c>
      <c r="K160" s="12">
        <v>136</v>
      </c>
      <c r="L160" s="12">
        <v>0.8</v>
      </c>
      <c r="M160" s="12">
        <v>0.1</v>
      </c>
      <c r="N160" s="12" t="s">
        <v>263</v>
      </c>
      <c r="O160" s="12">
        <v>4</v>
      </c>
      <c r="P160" s="12" t="s">
        <v>103</v>
      </c>
      <c r="Q160" s="12">
        <v>1</v>
      </c>
      <c r="R160" s="12">
        <v>32</v>
      </c>
      <c r="S160" s="12">
        <v>35</v>
      </c>
      <c r="T160" s="12">
        <v>31.44</v>
      </c>
      <c r="U160" s="10">
        <f t="shared" si="1"/>
        <v>0.6</v>
      </c>
      <c r="V160" s="12">
        <v>143.16</v>
      </c>
      <c r="W160" s="10">
        <f t="shared" si="43"/>
        <v>0.6</v>
      </c>
      <c r="X160" s="12">
        <v>40</v>
      </c>
      <c r="Y160" s="12">
        <v>55</v>
      </c>
      <c r="Z160" s="12">
        <v>1</v>
      </c>
      <c r="AA160" s="12">
        <v>0</v>
      </c>
      <c r="AB160" s="12">
        <v>20.5</v>
      </c>
      <c r="AC160" s="9">
        <f t="shared" si="3"/>
        <v>3</v>
      </c>
      <c r="AD160" s="12">
        <v>2</v>
      </c>
      <c r="AE160" s="12">
        <v>0.6</v>
      </c>
      <c r="AF160" s="12">
        <v>1.4999999999999999E-2</v>
      </c>
      <c r="AG160" s="12">
        <v>2.1</v>
      </c>
      <c r="AH160" s="12">
        <v>1.0999999999999999E-2</v>
      </c>
      <c r="AI160" s="24">
        <v>40</v>
      </c>
      <c r="AJ160" s="9">
        <f t="shared" si="4"/>
        <v>0.4</v>
      </c>
      <c r="AK160" s="12">
        <v>18</v>
      </c>
      <c r="AL160" s="12">
        <v>61</v>
      </c>
      <c r="AM160" s="12">
        <v>9.2799999999999994</v>
      </c>
      <c r="AN160" s="15">
        <v>0.4</v>
      </c>
      <c r="AO160" s="9">
        <f t="shared" si="41"/>
        <v>0.4</v>
      </c>
      <c r="AP160" s="12">
        <v>3.7</v>
      </c>
      <c r="AQ160" s="9">
        <f t="shared" si="45"/>
        <v>0.3</v>
      </c>
      <c r="AR160" s="12">
        <v>3.5</v>
      </c>
      <c r="AS160" s="12">
        <v>0.8</v>
      </c>
      <c r="AT160" s="12">
        <v>0.53</v>
      </c>
      <c r="AU160" s="12">
        <v>34</v>
      </c>
      <c r="AV160" s="15">
        <v>0.5</v>
      </c>
      <c r="AW160" s="12">
        <v>30</v>
      </c>
      <c r="AX160" s="9">
        <v>0.6</v>
      </c>
      <c r="AY160" s="12">
        <v>0</v>
      </c>
      <c r="AZ160" s="9">
        <v>0</v>
      </c>
      <c r="BA160" s="12">
        <v>0</v>
      </c>
      <c r="BB160" s="9">
        <v>0</v>
      </c>
      <c r="BC160" s="12">
        <v>70</v>
      </c>
      <c r="BD160" s="12">
        <v>55</v>
      </c>
      <c r="BE160" s="12">
        <v>7</v>
      </c>
      <c r="BF160" s="9">
        <f t="shared" si="8"/>
        <v>0.3</v>
      </c>
      <c r="BG160" s="9">
        <f t="shared" si="32"/>
        <v>2</v>
      </c>
      <c r="BH160" s="12">
        <v>6</v>
      </c>
      <c r="BI160" s="9">
        <f t="shared" si="10"/>
        <v>0</v>
      </c>
      <c r="BJ160" s="9">
        <v>9</v>
      </c>
      <c r="BK160" s="9">
        <v>0.71</v>
      </c>
      <c r="BL160" s="15">
        <v>7</v>
      </c>
      <c r="BM160" s="14">
        <v>0.33</v>
      </c>
      <c r="BN160" s="8">
        <v>0.4</v>
      </c>
      <c r="BO160" s="14">
        <v>0</v>
      </c>
      <c r="BP160" s="14">
        <v>0</v>
      </c>
      <c r="BQ160" s="14">
        <v>0</v>
      </c>
      <c r="BR160" s="15">
        <v>0.81</v>
      </c>
      <c r="BS160" s="15">
        <f t="shared" si="29"/>
        <v>8.8729999999999976E-2</v>
      </c>
      <c r="BT160" s="14">
        <v>0</v>
      </c>
      <c r="BU160" s="14">
        <v>0</v>
      </c>
      <c r="BV160" s="15">
        <v>583.03</v>
      </c>
      <c r="BW160" s="15">
        <v>0.63600000000000001</v>
      </c>
      <c r="BX160" s="15">
        <f t="shared" si="13"/>
        <v>0</v>
      </c>
      <c r="BY160" s="14">
        <f t="shared" si="14"/>
        <v>0</v>
      </c>
      <c r="BZ160" s="14">
        <f t="shared" si="15"/>
        <v>11.083</v>
      </c>
      <c r="CA160" s="14">
        <f t="shared" si="16"/>
        <v>0</v>
      </c>
      <c r="CB160" s="14">
        <f t="shared" si="17"/>
        <v>11.083</v>
      </c>
      <c r="CC160" s="15">
        <f t="shared" si="18"/>
        <v>0.871</v>
      </c>
      <c r="CD160" s="14">
        <f t="shared" si="19"/>
        <v>9.65</v>
      </c>
      <c r="CE160" s="14">
        <f t="shared" si="20"/>
        <v>0.95499999999999996</v>
      </c>
      <c r="CF160" s="14">
        <f t="shared" si="21"/>
        <v>9.2200000000000006</v>
      </c>
      <c r="CG160" s="14">
        <f t="shared" si="22"/>
        <v>179</v>
      </c>
    </row>
    <row r="161" spans="1:85" ht="13.2" x14ac:dyDescent="0.25">
      <c r="A161" s="8">
        <v>1159711</v>
      </c>
      <c r="B161" s="12" t="s">
        <v>265</v>
      </c>
      <c r="C161" s="12" t="s">
        <v>260</v>
      </c>
      <c r="D161" s="9">
        <v>0</v>
      </c>
      <c r="E161" s="9">
        <v>0</v>
      </c>
      <c r="F161" s="12">
        <v>1</v>
      </c>
      <c r="G161" s="9">
        <v>0</v>
      </c>
      <c r="H161" s="12">
        <v>18</v>
      </c>
      <c r="I161" s="12">
        <v>16</v>
      </c>
      <c r="J161" s="11">
        <f t="shared" si="44"/>
        <v>0.3</v>
      </c>
      <c r="K161" s="12">
        <v>480</v>
      </c>
      <c r="L161" s="12">
        <v>65</v>
      </c>
      <c r="M161" s="12">
        <v>28</v>
      </c>
      <c r="N161" s="12" t="s">
        <v>263</v>
      </c>
      <c r="O161" s="12">
        <v>4</v>
      </c>
      <c r="P161" s="12" t="s">
        <v>103</v>
      </c>
      <c r="Q161" s="12">
        <v>1</v>
      </c>
      <c r="R161" s="12">
        <v>31</v>
      </c>
      <c r="S161" s="12">
        <v>88</v>
      </c>
      <c r="T161" s="12">
        <v>32.5</v>
      </c>
      <c r="U161" s="10">
        <f t="shared" si="1"/>
        <v>0.6</v>
      </c>
      <c r="V161" s="12">
        <v>140</v>
      </c>
      <c r="W161" s="10">
        <f t="shared" si="43"/>
        <v>0.6</v>
      </c>
      <c r="X161" s="12">
        <v>48</v>
      </c>
      <c r="Y161" s="12">
        <v>30</v>
      </c>
      <c r="Z161" s="12">
        <v>0</v>
      </c>
      <c r="AA161" s="12">
        <v>3</v>
      </c>
      <c r="AB161" s="12">
        <v>12</v>
      </c>
      <c r="AC161" s="12">
        <v>3</v>
      </c>
      <c r="AD161" s="12">
        <v>2</v>
      </c>
      <c r="AE161" s="12">
        <v>40</v>
      </c>
      <c r="AF161" s="12">
        <v>1</v>
      </c>
      <c r="AG161" s="12">
        <v>0.7</v>
      </c>
      <c r="AH161" s="12">
        <v>4.0000000000000001E-3</v>
      </c>
      <c r="AI161" s="24">
        <v>7</v>
      </c>
      <c r="AJ161" s="9">
        <f t="shared" si="4"/>
        <v>0</v>
      </c>
      <c r="AK161" s="12">
        <v>14</v>
      </c>
      <c r="AL161" s="12">
        <v>12</v>
      </c>
      <c r="AM161" s="12">
        <v>8.5</v>
      </c>
      <c r="AN161" s="15">
        <v>0.5</v>
      </c>
      <c r="AO161" s="9">
        <f t="shared" si="41"/>
        <v>0.7</v>
      </c>
      <c r="AP161" s="12">
        <v>6</v>
      </c>
      <c r="AQ161" s="9">
        <f t="shared" si="45"/>
        <v>0.3</v>
      </c>
      <c r="AR161" s="12">
        <v>3.5</v>
      </c>
      <c r="AS161" s="12">
        <v>1.2</v>
      </c>
      <c r="AT161" s="12">
        <v>0.8</v>
      </c>
      <c r="AU161" s="12">
        <v>32</v>
      </c>
      <c r="AV161" s="15">
        <v>0.5</v>
      </c>
      <c r="AW161" s="12">
        <v>55</v>
      </c>
      <c r="AX161" s="9">
        <v>0.3</v>
      </c>
      <c r="AY161" s="12">
        <v>0</v>
      </c>
      <c r="AZ161" s="9">
        <v>0</v>
      </c>
      <c r="BA161" s="12">
        <v>0</v>
      </c>
      <c r="BB161" s="9">
        <v>0</v>
      </c>
      <c r="BC161" s="12">
        <v>40</v>
      </c>
      <c r="BD161" s="12">
        <v>24.3</v>
      </c>
      <c r="BE161" s="12">
        <v>7.5</v>
      </c>
      <c r="BF161" s="9">
        <f t="shared" si="8"/>
        <v>0.4</v>
      </c>
      <c r="BG161" s="9">
        <f t="shared" si="32"/>
        <v>1</v>
      </c>
      <c r="BH161" s="12">
        <v>7</v>
      </c>
      <c r="BI161" s="9">
        <f t="shared" si="10"/>
        <v>0.3</v>
      </c>
      <c r="BJ161" s="9">
        <v>7</v>
      </c>
      <c r="BK161" s="9">
        <v>0.56999999999999995</v>
      </c>
      <c r="BL161" s="15">
        <v>7</v>
      </c>
      <c r="BM161" s="14">
        <v>0.33</v>
      </c>
      <c r="BN161" s="8">
        <v>16.2</v>
      </c>
      <c r="BO161" s="14">
        <v>0</v>
      </c>
      <c r="BP161" s="14">
        <v>0</v>
      </c>
      <c r="BQ161" s="14">
        <v>0</v>
      </c>
      <c r="BR161" s="15">
        <v>0.84</v>
      </c>
      <c r="BS161" s="15">
        <f t="shared" si="29"/>
        <v>6.25312</v>
      </c>
      <c r="BT161" s="14">
        <v>0</v>
      </c>
      <c r="BU161" s="14">
        <v>0</v>
      </c>
      <c r="BV161" s="15">
        <v>387.84</v>
      </c>
      <c r="BW161" s="15">
        <v>0.42499999999999999</v>
      </c>
      <c r="BX161" s="15">
        <f t="shared" si="13"/>
        <v>0</v>
      </c>
      <c r="BY161" s="14">
        <f t="shared" si="14"/>
        <v>0</v>
      </c>
      <c r="BZ161" s="14">
        <f t="shared" si="15"/>
        <v>59.5</v>
      </c>
      <c r="CA161" s="14">
        <f t="shared" si="16"/>
        <v>0</v>
      </c>
      <c r="CB161" s="14">
        <f t="shared" si="17"/>
        <v>59.5</v>
      </c>
      <c r="CC161" s="15">
        <f t="shared" si="18"/>
        <v>1.4930000000000001</v>
      </c>
      <c r="CD161" s="14">
        <f t="shared" si="19"/>
        <v>88.83</v>
      </c>
      <c r="CE161" s="14">
        <f t="shared" si="20"/>
        <v>0.95499999999999996</v>
      </c>
      <c r="CF161" s="14">
        <f t="shared" si="21"/>
        <v>84.83</v>
      </c>
      <c r="CG161" s="14">
        <f t="shared" si="22"/>
        <v>10</v>
      </c>
    </row>
    <row r="162" spans="1:85" ht="13.2" x14ac:dyDescent="0.25">
      <c r="A162" s="8">
        <v>961713</v>
      </c>
      <c r="B162" s="12" t="s">
        <v>266</v>
      </c>
      <c r="C162" s="12" t="s">
        <v>260</v>
      </c>
      <c r="D162" s="9">
        <v>0</v>
      </c>
      <c r="E162" s="9">
        <v>0</v>
      </c>
      <c r="F162" s="12">
        <v>1</v>
      </c>
      <c r="G162" s="9">
        <v>0</v>
      </c>
      <c r="H162" s="12">
        <v>20</v>
      </c>
      <c r="I162" s="12">
        <v>18</v>
      </c>
      <c r="J162" s="11">
        <f t="shared" si="44"/>
        <v>0.3</v>
      </c>
      <c r="K162" s="12">
        <v>410</v>
      </c>
      <c r="L162" s="12">
        <v>62</v>
      </c>
      <c r="M162" s="12">
        <v>35</v>
      </c>
      <c r="N162" s="12" t="s">
        <v>263</v>
      </c>
      <c r="O162" s="12">
        <v>4</v>
      </c>
      <c r="P162" s="12" t="s">
        <v>88</v>
      </c>
      <c r="Q162" s="12">
        <v>0</v>
      </c>
      <c r="R162" s="12">
        <v>31</v>
      </c>
      <c r="S162" s="12">
        <v>77</v>
      </c>
      <c r="T162" s="12">
        <v>28.7</v>
      </c>
      <c r="U162" s="10">
        <f t="shared" si="1"/>
        <v>0.5</v>
      </c>
      <c r="V162" s="12">
        <v>135</v>
      </c>
      <c r="W162" s="10">
        <f t="shared" si="43"/>
        <v>0.6</v>
      </c>
      <c r="X162" s="12">
        <v>42</v>
      </c>
      <c r="Y162" s="12">
        <v>24</v>
      </c>
      <c r="Z162" s="12">
        <v>0</v>
      </c>
      <c r="AA162" s="12">
        <v>2</v>
      </c>
      <c r="AB162" s="12">
        <v>11</v>
      </c>
      <c r="AC162" s="12">
        <v>3</v>
      </c>
      <c r="AD162" s="12">
        <v>2</v>
      </c>
      <c r="AE162" s="12">
        <v>38</v>
      </c>
      <c r="AF162" s="12">
        <v>0.95</v>
      </c>
      <c r="AG162" s="12">
        <v>0.65</v>
      </c>
      <c r="AH162" s="12">
        <v>3.0000000000000001E-3</v>
      </c>
      <c r="AI162" s="24">
        <v>7</v>
      </c>
      <c r="AJ162" s="9">
        <f t="shared" si="4"/>
        <v>0</v>
      </c>
      <c r="AK162" s="12">
        <v>18</v>
      </c>
      <c r="AL162" s="12">
        <v>15</v>
      </c>
      <c r="AM162" s="12">
        <v>7.8</v>
      </c>
      <c r="AN162" s="15">
        <v>0.4</v>
      </c>
      <c r="AO162" s="9">
        <f t="shared" si="41"/>
        <v>0.6</v>
      </c>
      <c r="AP162" s="12">
        <v>5.5</v>
      </c>
      <c r="AQ162" s="9">
        <f t="shared" si="45"/>
        <v>0.2</v>
      </c>
      <c r="AR162" s="12">
        <v>3.2</v>
      </c>
      <c r="AS162" s="12">
        <v>1.1000000000000001</v>
      </c>
      <c r="AT162" s="12">
        <v>0.73</v>
      </c>
      <c r="AU162" s="12">
        <v>36</v>
      </c>
      <c r="AV162" s="15">
        <v>0.6</v>
      </c>
      <c r="AW162" s="12">
        <v>50</v>
      </c>
      <c r="AX162" s="9">
        <v>0.6</v>
      </c>
      <c r="AY162" s="12">
        <v>0</v>
      </c>
      <c r="AZ162" s="9">
        <v>0</v>
      </c>
      <c r="BA162" s="12">
        <v>0</v>
      </c>
      <c r="BB162" s="9">
        <v>0</v>
      </c>
      <c r="BC162" s="12">
        <v>42</v>
      </c>
      <c r="BD162" s="12">
        <v>23.8</v>
      </c>
      <c r="BE162" s="12">
        <v>7.2</v>
      </c>
      <c r="BF162" s="9">
        <f t="shared" si="8"/>
        <v>0.3</v>
      </c>
      <c r="BG162" s="9">
        <f t="shared" si="32"/>
        <v>1</v>
      </c>
      <c r="BH162" s="12">
        <v>7</v>
      </c>
      <c r="BI162" s="9">
        <f t="shared" si="10"/>
        <v>0.3</v>
      </c>
      <c r="BJ162" s="9">
        <v>6</v>
      </c>
      <c r="BK162" s="9">
        <v>0.71</v>
      </c>
      <c r="BL162" s="15">
        <v>8</v>
      </c>
      <c r="BM162" s="14">
        <v>0.67</v>
      </c>
      <c r="BN162" s="8">
        <v>16.8</v>
      </c>
      <c r="BO162" s="14">
        <v>0</v>
      </c>
      <c r="BP162" s="14">
        <v>0</v>
      </c>
      <c r="BQ162" s="14">
        <v>0</v>
      </c>
      <c r="BR162" s="15">
        <v>0</v>
      </c>
      <c r="BS162" s="15">
        <f t="shared" si="29"/>
        <v>40.174000000000007</v>
      </c>
      <c r="BT162" s="14">
        <v>0</v>
      </c>
      <c r="BU162" s="14">
        <v>0</v>
      </c>
      <c r="BV162" s="15">
        <v>682.07</v>
      </c>
      <c r="BW162" s="15">
        <v>0.74299999999999999</v>
      </c>
      <c r="BX162" s="15">
        <f t="shared" si="13"/>
        <v>0</v>
      </c>
      <c r="BY162" s="14">
        <f t="shared" si="14"/>
        <v>0</v>
      </c>
      <c r="BZ162" s="14">
        <f t="shared" si="15"/>
        <v>65.75</v>
      </c>
      <c r="CA162" s="14">
        <f t="shared" si="16"/>
        <v>0</v>
      </c>
      <c r="CB162" s="14">
        <f t="shared" si="17"/>
        <v>65.75</v>
      </c>
      <c r="CC162" s="15">
        <f t="shared" si="18"/>
        <v>4.7169999999999996</v>
      </c>
      <c r="CD162" s="14">
        <f t="shared" si="19"/>
        <v>310.14</v>
      </c>
      <c r="CE162" s="14">
        <f t="shared" si="20"/>
        <v>0.97</v>
      </c>
      <c r="CF162" s="14">
        <f t="shared" si="21"/>
        <v>300.83999999999997</v>
      </c>
      <c r="CG162" s="14">
        <f t="shared" si="22"/>
        <v>3</v>
      </c>
    </row>
    <row r="163" spans="1:85" ht="13.2" x14ac:dyDescent="0.25">
      <c r="A163" s="8">
        <v>592735</v>
      </c>
      <c r="B163" s="12" t="s">
        <v>267</v>
      </c>
      <c r="C163" s="12" t="s">
        <v>260</v>
      </c>
      <c r="D163" s="9">
        <v>0</v>
      </c>
      <c r="E163" s="9">
        <v>0</v>
      </c>
      <c r="F163" s="12">
        <v>1</v>
      </c>
      <c r="G163" s="9">
        <v>0</v>
      </c>
      <c r="H163" s="12">
        <v>16</v>
      </c>
      <c r="I163" s="12">
        <v>15</v>
      </c>
      <c r="J163" s="11">
        <f t="shared" si="44"/>
        <v>0.3</v>
      </c>
      <c r="K163" s="12">
        <v>380</v>
      </c>
      <c r="L163" s="12">
        <v>55</v>
      </c>
      <c r="M163" s="12">
        <v>38</v>
      </c>
      <c r="N163" s="12" t="s">
        <v>90</v>
      </c>
      <c r="O163" s="12">
        <v>4</v>
      </c>
      <c r="P163" s="12" t="s">
        <v>97</v>
      </c>
      <c r="Q163" s="12">
        <v>1</v>
      </c>
      <c r="R163" s="12">
        <v>34</v>
      </c>
      <c r="S163" s="12">
        <v>75</v>
      </c>
      <c r="T163" s="12">
        <v>30.2</v>
      </c>
      <c r="U163" s="10">
        <f t="shared" si="1"/>
        <v>0.5</v>
      </c>
      <c r="V163" s="12">
        <v>142</v>
      </c>
      <c r="W163" s="10">
        <f t="shared" si="43"/>
        <v>0.6</v>
      </c>
      <c r="X163" s="12">
        <v>40</v>
      </c>
      <c r="Y163" s="12">
        <v>22</v>
      </c>
      <c r="Z163" s="12">
        <v>0</v>
      </c>
      <c r="AA163" s="12">
        <v>1</v>
      </c>
      <c r="AB163" s="12">
        <v>10</v>
      </c>
      <c r="AC163" s="12">
        <v>1</v>
      </c>
      <c r="AD163" s="12">
        <v>1.5</v>
      </c>
      <c r="AE163" s="12">
        <v>35</v>
      </c>
      <c r="AF163" s="12">
        <v>0.875</v>
      </c>
      <c r="AG163" s="12">
        <v>0.6</v>
      </c>
      <c r="AH163" s="12">
        <v>3.0000000000000001E-3</v>
      </c>
      <c r="AI163" s="24">
        <v>6.5</v>
      </c>
      <c r="AJ163" s="9">
        <f t="shared" si="4"/>
        <v>0</v>
      </c>
      <c r="AK163" s="12">
        <v>20</v>
      </c>
      <c r="AL163" s="12">
        <v>14</v>
      </c>
      <c r="AM163" s="12">
        <v>7.6</v>
      </c>
      <c r="AN163" s="15">
        <v>0.5</v>
      </c>
      <c r="AO163" s="9">
        <f t="shared" si="41"/>
        <v>0.6</v>
      </c>
      <c r="AP163" s="12">
        <v>5.8</v>
      </c>
      <c r="AQ163" s="9">
        <f t="shared" si="45"/>
        <v>0.2</v>
      </c>
      <c r="AR163" s="12">
        <v>3</v>
      </c>
      <c r="AS163" s="12">
        <v>1.3</v>
      </c>
      <c r="AT163" s="12">
        <v>0.87</v>
      </c>
      <c r="AU163" s="12">
        <v>30</v>
      </c>
      <c r="AV163" s="15">
        <v>0.4</v>
      </c>
      <c r="AW163" s="12">
        <v>52</v>
      </c>
      <c r="AX163" s="9">
        <v>0.5</v>
      </c>
      <c r="AY163" s="12">
        <v>0</v>
      </c>
      <c r="AZ163" s="9">
        <v>0</v>
      </c>
      <c r="BA163" s="12">
        <v>0</v>
      </c>
      <c r="BB163" s="9">
        <v>0</v>
      </c>
      <c r="BC163" s="12">
        <v>38</v>
      </c>
      <c r="BD163" s="12">
        <v>21.7</v>
      </c>
      <c r="BE163" s="12">
        <v>7</v>
      </c>
      <c r="BF163" s="9">
        <f t="shared" si="8"/>
        <v>0.3</v>
      </c>
      <c r="BG163" s="9">
        <f t="shared" si="32"/>
        <v>2</v>
      </c>
      <c r="BH163" s="12">
        <v>6.5</v>
      </c>
      <c r="BI163" s="9">
        <f t="shared" si="10"/>
        <v>0.2</v>
      </c>
      <c r="BJ163" s="9">
        <v>7</v>
      </c>
      <c r="BK163" s="9">
        <v>0.56999999999999995</v>
      </c>
      <c r="BL163" s="15">
        <v>7</v>
      </c>
      <c r="BM163" s="14">
        <v>0.33</v>
      </c>
      <c r="BN163" s="8">
        <v>15.9</v>
      </c>
      <c r="BO163" s="14">
        <v>0</v>
      </c>
      <c r="BP163" s="14">
        <v>0</v>
      </c>
      <c r="BQ163" s="14">
        <v>0</v>
      </c>
      <c r="BR163" s="15">
        <v>0.52</v>
      </c>
      <c r="BS163" s="15">
        <f t="shared" si="29"/>
        <v>18.275519999999997</v>
      </c>
      <c r="BT163" s="14">
        <v>0</v>
      </c>
      <c r="BU163" s="14">
        <v>0</v>
      </c>
      <c r="BV163" s="15">
        <v>471.02</v>
      </c>
      <c r="BW163" s="15">
        <v>0.51500000000000001</v>
      </c>
      <c r="BX163" s="15">
        <f t="shared" si="13"/>
        <v>0</v>
      </c>
      <c r="BY163" s="14">
        <f t="shared" si="14"/>
        <v>0</v>
      </c>
      <c r="BZ163" s="14">
        <f t="shared" si="15"/>
        <v>61.25</v>
      </c>
      <c r="CA163" s="14">
        <f t="shared" si="16"/>
        <v>0</v>
      </c>
      <c r="CB163" s="14">
        <f t="shared" si="17"/>
        <v>61.25</v>
      </c>
      <c r="CC163" s="15">
        <f t="shared" si="18"/>
        <v>2.6320000000000001</v>
      </c>
      <c r="CD163" s="14">
        <f t="shared" si="19"/>
        <v>161.21</v>
      </c>
      <c r="CE163" s="14">
        <f t="shared" si="20"/>
        <v>0.97</v>
      </c>
      <c r="CF163" s="14">
        <f t="shared" si="21"/>
        <v>156.37</v>
      </c>
      <c r="CG163" s="14">
        <f t="shared" si="22"/>
        <v>9</v>
      </c>
    </row>
    <row r="164" spans="1:85" ht="13.2" x14ac:dyDescent="0.25">
      <c r="A164" s="8">
        <v>955235</v>
      </c>
      <c r="B164" s="12" t="s">
        <v>268</v>
      </c>
      <c r="C164" s="12" t="s">
        <v>260</v>
      </c>
      <c r="D164" s="9">
        <v>0</v>
      </c>
      <c r="E164" s="9">
        <v>0</v>
      </c>
      <c r="F164" s="12">
        <v>1</v>
      </c>
      <c r="G164" s="9">
        <v>0</v>
      </c>
      <c r="H164" s="12">
        <v>17</v>
      </c>
      <c r="I164" s="12">
        <v>14</v>
      </c>
      <c r="J164" s="11">
        <f t="shared" si="44"/>
        <v>0.3</v>
      </c>
      <c r="K164" s="12">
        <v>420</v>
      </c>
      <c r="L164" s="12">
        <v>60</v>
      </c>
      <c r="M164" s="12">
        <v>32</v>
      </c>
      <c r="N164" s="12" t="s">
        <v>263</v>
      </c>
      <c r="O164" s="12">
        <v>2</v>
      </c>
      <c r="P164" s="12" t="s">
        <v>94</v>
      </c>
      <c r="Q164" s="12">
        <v>1</v>
      </c>
      <c r="R164" s="12">
        <v>33</v>
      </c>
      <c r="S164" s="12">
        <v>80</v>
      </c>
      <c r="T164" s="12">
        <v>31</v>
      </c>
      <c r="U164" s="10">
        <f t="shared" si="1"/>
        <v>0.6</v>
      </c>
      <c r="V164" s="12">
        <v>138</v>
      </c>
      <c r="W164" s="10">
        <f t="shared" si="43"/>
        <v>0.6</v>
      </c>
      <c r="X164" s="12">
        <v>45</v>
      </c>
      <c r="Y164" s="12">
        <v>26</v>
      </c>
      <c r="Z164" s="12">
        <v>0</v>
      </c>
      <c r="AA164" s="12">
        <v>2</v>
      </c>
      <c r="AB164" s="12">
        <v>9</v>
      </c>
      <c r="AC164" s="12">
        <v>3</v>
      </c>
      <c r="AD164" s="12">
        <v>1.8</v>
      </c>
      <c r="AE164" s="12">
        <v>36</v>
      </c>
      <c r="AF164" s="12">
        <v>0.9</v>
      </c>
      <c r="AG164" s="12">
        <v>0.62</v>
      </c>
      <c r="AH164" s="12">
        <v>3.0000000000000001E-3</v>
      </c>
      <c r="AI164" s="24">
        <v>7</v>
      </c>
      <c r="AJ164" s="9">
        <f t="shared" si="4"/>
        <v>0</v>
      </c>
      <c r="AK164" s="12">
        <v>16</v>
      </c>
      <c r="AL164" s="12">
        <v>13</v>
      </c>
      <c r="AM164" s="12">
        <v>7.9</v>
      </c>
      <c r="AN164" s="15">
        <v>0.6</v>
      </c>
      <c r="AO164" s="9">
        <f t="shared" si="41"/>
        <v>0.7</v>
      </c>
      <c r="AP164" s="12">
        <v>6</v>
      </c>
      <c r="AQ164" s="9">
        <f t="shared" si="45"/>
        <v>0.2</v>
      </c>
      <c r="AR164" s="12">
        <v>3.3</v>
      </c>
      <c r="AS164" s="12">
        <v>1.1499999999999999</v>
      </c>
      <c r="AT164" s="12">
        <v>0.77</v>
      </c>
      <c r="AU164" s="12">
        <v>34</v>
      </c>
      <c r="AV164" s="15">
        <v>0.5</v>
      </c>
      <c r="AW164" s="12">
        <v>53</v>
      </c>
      <c r="AX164" s="9">
        <v>0.5</v>
      </c>
      <c r="AY164" s="12">
        <v>0</v>
      </c>
      <c r="AZ164" s="9">
        <v>0</v>
      </c>
      <c r="BA164" s="12">
        <v>0</v>
      </c>
      <c r="BB164" s="9">
        <v>0</v>
      </c>
      <c r="BC164" s="12">
        <v>35</v>
      </c>
      <c r="BD164" s="12">
        <v>22.5</v>
      </c>
      <c r="BE164" s="12">
        <v>7.3</v>
      </c>
      <c r="BF164" s="9">
        <f t="shared" si="8"/>
        <v>0.3</v>
      </c>
      <c r="BG164" s="9">
        <f t="shared" si="32"/>
        <v>1</v>
      </c>
      <c r="BH164" s="12">
        <v>6.8</v>
      </c>
      <c r="BI164" s="9">
        <f t="shared" si="10"/>
        <v>0.3</v>
      </c>
      <c r="BJ164" s="9">
        <v>6</v>
      </c>
      <c r="BK164" s="9">
        <v>0.56999999999999995</v>
      </c>
      <c r="BL164" s="15">
        <v>7</v>
      </c>
      <c r="BM164" s="14">
        <v>0.33</v>
      </c>
      <c r="BN164" s="8">
        <v>15.9</v>
      </c>
      <c r="BO164" s="14">
        <v>0</v>
      </c>
      <c r="BP164" s="14">
        <v>0</v>
      </c>
      <c r="BQ164" s="14">
        <v>0</v>
      </c>
      <c r="BR164" s="15">
        <v>0</v>
      </c>
      <c r="BS164" s="15">
        <f t="shared" si="29"/>
        <v>38.224000000000004</v>
      </c>
      <c r="BT164" s="14">
        <v>0</v>
      </c>
      <c r="BU164" s="14">
        <v>0</v>
      </c>
      <c r="BV164" s="15">
        <v>606.61</v>
      </c>
      <c r="BW164" s="15">
        <v>0.66200000000000003</v>
      </c>
      <c r="BX164" s="15">
        <f t="shared" si="13"/>
        <v>0</v>
      </c>
      <c r="BY164" s="14">
        <f t="shared" si="14"/>
        <v>0</v>
      </c>
      <c r="BZ164" s="14">
        <f t="shared" si="15"/>
        <v>61.25</v>
      </c>
      <c r="CA164" s="14">
        <f t="shared" si="16"/>
        <v>0</v>
      </c>
      <c r="CB164" s="14">
        <f t="shared" si="17"/>
        <v>61.25</v>
      </c>
      <c r="CC164" s="15">
        <f t="shared" si="18"/>
        <v>4.5220000000000002</v>
      </c>
      <c r="CD164" s="14">
        <f t="shared" si="19"/>
        <v>276.97000000000003</v>
      </c>
      <c r="CE164" s="14">
        <f t="shared" si="20"/>
        <v>0.97</v>
      </c>
      <c r="CF164" s="14">
        <f t="shared" si="21"/>
        <v>268.66000000000003</v>
      </c>
      <c r="CG164" s="14">
        <f t="shared" si="22"/>
        <v>4</v>
      </c>
    </row>
    <row r="165" spans="1:85" ht="13.2" x14ac:dyDescent="0.25">
      <c r="A165" s="8">
        <v>1168045</v>
      </c>
      <c r="B165" s="12" t="s">
        <v>269</v>
      </c>
      <c r="C165" s="12" t="s">
        <v>260</v>
      </c>
      <c r="D165" s="9">
        <v>0</v>
      </c>
      <c r="E165" s="9">
        <v>0</v>
      </c>
      <c r="F165" s="12">
        <v>1</v>
      </c>
      <c r="G165" s="9">
        <v>0</v>
      </c>
      <c r="H165" s="12">
        <v>18</v>
      </c>
      <c r="I165" s="12">
        <v>16</v>
      </c>
      <c r="J165" s="11">
        <f t="shared" si="44"/>
        <v>0.4</v>
      </c>
      <c r="K165" s="12">
        <v>495</v>
      </c>
      <c r="L165" s="12">
        <v>68</v>
      </c>
      <c r="M165" s="12">
        <v>30</v>
      </c>
      <c r="N165" s="12" t="s">
        <v>90</v>
      </c>
      <c r="O165" s="12">
        <v>4</v>
      </c>
      <c r="P165" s="12" t="s">
        <v>103</v>
      </c>
      <c r="Q165" s="12">
        <v>1</v>
      </c>
      <c r="R165" s="12">
        <v>32</v>
      </c>
      <c r="S165" s="12">
        <v>85</v>
      </c>
      <c r="T165" s="12">
        <v>33.5</v>
      </c>
      <c r="U165" s="10">
        <f t="shared" si="1"/>
        <v>0.6</v>
      </c>
      <c r="V165" s="12">
        <v>145</v>
      </c>
      <c r="W165" s="10">
        <f t="shared" si="43"/>
        <v>0.6</v>
      </c>
      <c r="X165" s="12">
        <v>50</v>
      </c>
      <c r="Y165" s="12">
        <v>28</v>
      </c>
      <c r="Z165" s="12">
        <v>0</v>
      </c>
      <c r="AA165" s="12">
        <v>3</v>
      </c>
      <c r="AB165" s="12">
        <v>12</v>
      </c>
      <c r="AC165" s="12">
        <v>3</v>
      </c>
      <c r="AD165" s="12">
        <v>2</v>
      </c>
      <c r="AE165" s="12">
        <v>40</v>
      </c>
      <c r="AF165" s="12">
        <v>1</v>
      </c>
      <c r="AG165" s="12">
        <v>0.7</v>
      </c>
      <c r="AH165" s="12">
        <v>4.0000000000000001E-3</v>
      </c>
      <c r="AI165" s="24">
        <v>7.2</v>
      </c>
      <c r="AJ165" s="9">
        <f t="shared" si="4"/>
        <v>0</v>
      </c>
      <c r="AK165" s="12">
        <v>12</v>
      </c>
      <c r="AL165" s="12">
        <v>11</v>
      </c>
      <c r="AM165" s="12">
        <v>8</v>
      </c>
      <c r="AN165" s="15">
        <v>0.5</v>
      </c>
      <c r="AO165" s="9">
        <f t="shared" si="41"/>
        <v>0.7</v>
      </c>
      <c r="AP165" s="12">
        <v>6.2</v>
      </c>
      <c r="AQ165" s="9">
        <f t="shared" si="45"/>
        <v>0.2</v>
      </c>
      <c r="AR165" s="12">
        <v>3.1</v>
      </c>
      <c r="AS165" s="12">
        <v>0.95</v>
      </c>
      <c r="AT165" s="12">
        <v>0.63</v>
      </c>
      <c r="AU165" s="12">
        <v>36</v>
      </c>
      <c r="AV165" s="15">
        <v>0.6</v>
      </c>
      <c r="AW165" s="12">
        <v>55</v>
      </c>
      <c r="AX165" s="9">
        <v>0.6</v>
      </c>
      <c r="AY165" s="12">
        <v>0</v>
      </c>
      <c r="AZ165" s="9">
        <v>0</v>
      </c>
      <c r="BA165" s="12">
        <v>0</v>
      </c>
      <c r="BB165" s="9">
        <v>0</v>
      </c>
      <c r="BC165" s="12">
        <v>34</v>
      </c>
      <c r="BD165" s="12">
        <v>25.6</v>
      </c>
      <c r="BE165" s="12">
        <v>7.5</v>
      </c>
      <c r="BF165" s="9">
        <f t="shared" si="8"/>
        <v>0.4</v>
      </c>
      <c r="BG165" s="9">
        <f t="shared" si="32"/>
        <v>1</v>
      </c>
      <c r="BH165" s="12">
        <v>7</v>
      </c>
      <c r="BI165" s="9">
        <f t="shared" si="10"/>
        <v>0.3</v>
      </c>
      <c r="BJ165" s="9">
        <v>6</v>
      </c>
      <c r="BK165" s="9">
        <v>1</v>
      </c>
      <c r="BL165" s="15">
        <v>7</v>
      </c>
      <c r="BM165" s="14">
        <v>0.33</v>
      </c>
      <c r="BN165" s="8">
        <v>17.100000000000001</v>
      </c>
      <c r="BO165" s="14">
        <v>0</v>
      </c>
      <c r="BP165" s="14">
        <v>0</v>
      </c>
      <c r="BQ165" s="14">
        <v>0</v>
      </c>
      <c r="BR165" s="15">
        <v>0</v>
      </c>
      <c r="BS165" s="15">
        <f t="shared" si="29"/>
        <v>41.131999999999998</v>
      </c>
      <c r="BT165" s="14">
        <v>0</v>
      </c>
      <c r="BU165" s="14">
        <v>0</v>
      </c>
      <c r="BV165" s="15">
        <v>623.38</v>
      </c>
      <c r="BW165" s="15">
        <v>0.68</v>
      </c>
      <c r="BX165" s="15">
        <f t="shared" si="13"/>
        <v>0</v>
      </c>
      <c r="BY165" s="14">
        <f t="shared" si="14"/>
        <v>0</v>
      </c>
      <c r="BZ165" s="14">
        <f t="shared" si="15"/>
        <v>67</v>
      </c>
      <c r="CA165" s="14">
        <f t="shared" si="16"/>
        <v>0</v>
      </c>
      <c r="CB165" s="14">
        <f t="shared" si="17"/>
        <v>67</v>
      </c>
      <c r="CC165" s="15">
        <f t="shared" si="18"/>
        <v>4.8129999999999997</v>
      </c>
      <c r="CD165" s="14">
        <f t="shared" si="19"/>
        <v>322.47000000000003</v>
      </c>
      <c r="CE165" s="14">
        <f t="shared" si="20"/>
        <v>0.97</v>
      </c>
      <c r="CF165" s="14">
        <f t="shared" si="21"/>
        <v>312.8</v>
      </c>
      <c r="CG165" s="14">
        <f t="shared" si="22"/>
        <v>2</v>
      </c>
    </row>
    <row r="166" spans="1:85" ht="13.2" x14ac:dyDescent="0.25">
      <c r="A166" s="8">
        <v>8917</v>
      </c>
      <c r="B166" s="12" t="s">
        <v>270</v>
      </c>
      <c r="C166" s="12" t="s">
        <v>260</v>
      </c>
      <c r="D166" s="9">
        <v>0</v>
      </c>
      <c r="E166" s="9">
        <v>0</v>
      </c>
      <c r="F166" s="12">
        <v>1</v>
      </c>
      <c r="G166" s="9">
        <v>0</v>
      </c>
      <c r="H166" s="12">
        <v>12</v>
      </c>
      <c r="I166" s="12">
        <v>10</v>
      </c>
      <c r="J166" s="11">
        <f t="shared" si="44"/>
        <v>0.2</v>
      </c>
      <c r="K166" s="12">
        <v>250</v>
      </c>
      <c r="L166" s="12">
        <v>50</v>
      </c>
      <c r="M166" s="12">
        <v>20</v>
      </c>
      <c r="N166" s="12" t="s">
        <v>263</v>
      </c>
      <c r="O166" s="12">
        <v>2</v>
      </c>
      <c r="P166" s="12" t="s">
        <v>88</v>
      </c>
      <c r="Q166" s="12">
        <v>0</v>
      </c>
      <c r="R166" s="12">
        <v>27</v>
      </c>
      <c r="S166" s="12">
        <v>55</v>
      </c>
      <c r="T166" s="12">
        <v>25</v>
      </c>
      <c r="U166" s="10">
        <f t="shared" si="1"/>
        <v>0.5</v>
      </c>
      <c r="V166" s="12">
        <v>132</v>
      </c>
      <c r="W166" s="10">
        <f t="shared" si="43"/>
        <v>0.5</v>
      </c>
      <c r="X166" s="12">
        <v>20</v>
      </c>
      <c r="Y166" s="12">
        <v>10</v>
      </c>
      <c r="Z166" s="12">
        <v>0</v>
      </c>
      <c r="AA166" s="12">
        <v>1</v>
      </c>
      <c r="AB166" s="12">
        <v>3</v>
      </c>
      <c r="AC166" s="12">
        <v>1</v>
      </c>
      <c r="AD166" s="12">
        <v>1</v>
      </c>
      <c r="AE166" s="12">
        <v>25</v>
      </c>
      <c r="AF166" s="12">
        <v>0.625</v>
      </c>
      <c r="AG166" s="12">
        <v>0.5</v>
      </c>
      <c r="AH166" s="12">
        <v>3.0000000000000001E-3</v>
      </c>
      <c r="AI166" s="24">
        <v>6</v>
      </c>
      <c r="AJ166" s="9">
        <f t="shared" si="4"/>
        <v>0</v>
      </c>
      <c r="AK166" s="12">
        <v>8</v>
      </c>
      <c r="AL166" s="12">
        <v>9</v>
      </c>
      <c r="AM166" s="12">
        <v>7.5</v>
      </c>
      <c r="AN166" s="15">
        <v>0.5</v>
      </c>
      <c r="AO166" s="9">
        <f t="shared" si="41"/>
        <v>0.6</v>
      </c>
      <c r="AP166" s="12">
        <v>5.5</v>
      </c>
      <c r="AQ166" s="9">
        <f t="shared" si="45"/>
        <v>0.1</v>
      </c>
      <c r="AR166" s="12">
        <v>2.5</v>
      </c>
      <c r="AS166" s="12">
        <v>0.8</v>
      </c>
      <c r="AT166" s="12">
        <v>0.53</v>
      </c>
      <c r="AU166" s="12">
        <v>28</v>
      </c>
      <c r="AV166" s="15">
        <v>0.3</v>
      </c>
      <c r="AW166" s="12">
        <v>48</v>
      </c>
      <c r="AX166" s="9">
        <v>0.5</v>
      </c>
      <c r="AY166" s="12">
        <v>0</v>
      </c>
      <c r="AZ166" s="9">
        <v>0</v>
      </c>
      <c r="BA166" s="12">
        <v>0</v>
      </c>
      <c r="BB166" s="9">
        <v>0</v>
      </c>
      <c r="BC166" s="12">
        <v>30</v>
      </c>
      <c r="BD166" s="12">
        <v>21.3</v>
      </c>
      <c r="BE166" s="12">
        <v>6.8</v>
      </c>
      <c r="BF166" s="9">
        <f t="shared" si="8"/>
        <v>0.2</v>
      </c>
      <c r="BG166" s="9">
        <f t="shared" si="32"/>
        <v>2</v>
      </c>
      <c r="BH166" s="12">
        <v>6</v>
      </c>
      <c r="BI166" s="9">
        <f t="shared" si="10"/>
        <v>0</v>
      </c>
      <c r="BJ166" s="9">
        <v>9</v>
      </c>
      <c r="BK166" s="9">
        <v>0.43</v>
      </c>
      <c r="BL166" s="15">
        <v>8</v>
      </c>
      <c r="BM166" s="14">
        <v>0.67</v>
      </c>
      <c r="BN166" s="8">
        <v>12.3</v>
      </c>
      <c r="BO166" s="14">
        <v>0</v>
      </c>
      <c r="BP166" s="14">
        <v>0</v>
      </c>
      <c r="BQ166" s="14">
        <v>0</v>
      </c>
      <c r="BR166" s="15">
        <v>0</v>
      </c>
      <c r="BS166" s="15">
        <f t="shared" si="29"/>
        <v>29.515999999999998</v>
      </c>
      <c r="BT166" s="14">
        <v>0</v>
      </c>
      <c r="BU166" s="14">
        <v>0</v>
      </c>
      <c r="BV166" s="15">
        <v>499.31</v>
      </c>
      <c r="BW166" s="15">
        <v>0.54500000000000004</v>
      </c>
      <c r="BX166" s="15">
        <f t="shared" si="13"/>
        <v>0</v>
      </c>
      <c r="BY166" s="14">
        <f t="shared" si="14"/>
        <v>0</v>
      </c>
      <c r="BZ166" s="14">
        <f t="shared" si="15"/>
        <v>49</v>
      </c>
      <c r="CA166" s="14">
        <f t="shared" si="16"/>
        <v>0</v>
      </c>
      <c r="CB166" s="14">
        <f t="shared" si="17"/>
        <v>49</v>
      </c>
      <c r="CC166" s="15">
        <f t="shared" si="18"/>
        <v>3.6520000000000001</v>
      </c>
      <c r="CD166" s="14">
        <f t="shared" si="19"/>
        <v>178.95</v>
      </c>
      <c r="CE166" s="14">
        <f t="shared" si="20"/>
        <v>0.98499999999999999</v>
      </c>
      <c r="CF166" s="14">
        <f t="shared" si="21"/>
        <v>176.27</v>
      </c>
      <c r="CG166" s="14">
        <f t="shared" si="22"/>
        <v>7</v>
      </c>
    </row>
    <row r="167" spans="1:85" ht="13.2" x14ac:dyDescent="0.25">
      <c r="A167" s="8">
        <v>272477</v>
      </c>
      <c r="B167" s="12" t="s">
        <v>271</v>
      </c>
      <c r="C167" s="12" t="s">
        <v>260</v>
      </c>
      <c r="D167" s="9">
        <v>0</v>
      </c>
      <c r="E167" s="9">
        <v>0</v>
      </c>
      <c r="F167" s="12">
        <v>1</v>
      </c>
      <c r="G167" s="9">
        <v>0</v>
      </c>
      <c r="H167" s="12">
        <v>14</v>
      </c>
      <c r="I167" s="12">
        <v>12</v>
      </c>
      <c r="J167" s="11">
        <f t="shared" si="44"/>
        <v>0.2</v>
      </c>
      <c r="K167" s="12">
        <v>300</v>
      </c>
      <c r="L167" s="12">
        <v>58</v>
      </c>
      <c r="M167" s="12">
        <v>22</v>
      </c>
      <c r="N167" s="12" t="s">
        <v>263</v>
      </c>
      <c r="O167" s="12">
        <v>4</v>
      </c>
      <c r="P167" s="12" t="s">
        <v>88</v>
      </c>
      <c r="Q167" s="12">
        <v>0</v>
      </c>
      <c r="R167" s="12">
        <v>26</v>
      </c>
      <c r="S167" s="12">
        <v>60</v>
      </c>
      <c r="T167" s="12">
        <v>27.5</v>
      </c>
      <c r="U167" s="10">
        <f t="shared" si="1"/>
        <v>0.5</v>
      </c>
      <c r="V167" s="12">
        <v>135</v>
      </c>
      <c r="W167" s="10">
        <f t="shared" si="43"/>
        <v>0.6</v>
      </c>
      <c r="X167" s="12">
        <v>28</v>
      </c>
      <c r="Y167" s="12">
        <v>14</v>
      </c>
      <c r="Z167" s="12">
        <v>0</v>
      </c>
      <c r="AA167" s="12">
        <v>1</v>
      </c>
      <c r="AB167" s="12">
        <v>5</v>
      </c>
      <c r="AC167" s="12">
        <v>1</v>
      </c>
      <c r="AD167" s="12">
        <v>1</v>
      </c>
      <c r="AE167" s="12">
        <v>28</v>
      </c>
      <c r="AF167" s="12">
        <v>0.7</v>
      </c>
      <c r="AG167" s="12">
        <v>0.55000000000000004</v>
      </c>
      <c r="AH167" s="12">
        <v>3.0000000000000001E-3</v>
      </c>
      <c r="AI167" s="24">
        <v>6.5</v>
      </c>
      <c r="AJ167" s="9">
        <f t="shared" si="4"/>
        <v>0</v>
      </c>
      <c r="AK167" s="12">
        <v>12</v>
      </c>
      <c r="AL167" s="12">
        <v>10</v>
      </c>
      <c r="AM167" s="12">
        <v>7.8</v>
      </c>
      <c r="AN167" s="15">
        <v>0.5</v>
      </c>
      <c r="AO167" s="9">
        <f t="shared" si="41"/>
        <v>0.6</v>
      </c>
      <c r="AP167" s="12">
        <v>5.7</v>
      </c>
      <c r="AQ167" s="9">
        <f t="shared" si="45"/>
        <v>0.1</v>
      </c>
      <c r="AR167" s="12">
        <v>2.8</v>
      </c>
      <c r="AS167" s="12">
        <v>0.9</v>
      </c>
      <c r="AT167" s="12">
        <v>0.6</v>
      </c>
      <c r="AU167" s="12">
        <v>30</v>
      </c>
      <c r="AV167" s="15">
        <v>0.4</v>
      </c>
      <c r="AW167" s="12">
        <v>50</v>
      </c>
      <c r="AX167" s="9">
        <v>0.5</v>
      </c>
      <c r="AY167" s="12">
        <v>0</v>
      </c>
      <c r="AZ167" s="9">
        <v>0</v>
      </c>
      <c r="BA167" s="12">
        <v>0</v>
      </c>
      <c r="BB167" s="9">
        <v>0</v>
      </c>
      <c r="BC167" s="12">
        <v>32</v>
      </c>
      <c r="BD167" s="12">
        <v>22</v>
      </c>
      <c r="BE167" s="12">
        <v>7</v>
      </c>
      <c r="BF167" s="9">
        <f t="shared" si="8"/>
        <v>0.3</v>
      </c>
      <c r="BG167" s="9">
        <f t="shared" si="32"/>
        <v>2</v>
      </c>
      <c r="BH167" s="12">
        <v>6.5</v>
      </c>
      <c r="BI167" s="9">
        <f t="shared" si="10"/>
        <v>0.2</v>
      </c>
      <c r="BJ167" s="9">
        <v>5</v>
      </c>
      <c r="BK167" s="9">
        <v>0.56999999999999995</v>
      </c>
      <c r="BL167" s="15">
        <v>7</v>
      </c>
      <c r="BM167" s="14">
        <v>0.33</v>
      </c>
      <c r="BN167" s="8">
        <v>14</v>
      </c>
      <c r="BO167" s="14">
        <v>0</v>
      </c>
      <c r="BP167" s="14">
        <v>0</v>
      </c>
      <c r="BQ167" s="14">
        <v>0</v>
      </c>
      <c r="BR167" s="15">
        <v>0.83</v>
      </c>
      <c r="BS167" s="15">
        <f t="shared" si="29"/>
        <v>5.7500800000000014</v>
      </c>
      <c r="BT167" s="14">
        <v>0</v>
      </c>
      <c r="BU167" s="14">
        <v>0</v>
      </c>
      <c r="BV167" s="15">
        <v>322.82</v>
      </c>
      <c r="BW167" s="15">
        <v>0.35399999999999998</v>
      </c>
      <c r="BX167" s="15">
        <f t="shared" si="13"/>
        <v>0</v>
      </c>
      <c r="BY167" s="14">
        <f t="shared" si="14"/>
        <v>0</v>
      </c>
      <c r="BZ167" s="14">
        <f t="shared" si="15"/>
        <v>54.917000000000002</v>
      </c>
      <c r="CA167" s="14">
        <f t="shared" si="16"/>
        <v>0</v>
      </c>
      <c r="CB167" s="14">
        <f t="shared" si="17"/>
        <v>54.917000000000002</v>
      </c>
      <c r="CC167" s="15">
        <f t="shared" si="18"/>
        <v>1.4410000000000001</v>
      </c>
      <c r="CD167" s="14">
        <f t="shared" si="19"/>
        <v>79.14</v>
      </c>
      <c r="CE167" s="14">
        <f t="shared" si="20"/>
        <v>0.98499999999999999</v>
      </c>
      <c r="CF167" s="14">
        <f t="shared" si="21"/>
        <v>77.95</v>
      </c>
      <c r="CG167" s="14">
        <f t="shared" si="22"/>
        <v>13</v>
      </c>
    </row>
    <row r="168" spans="1:85" ht="13.2" x14ac:dyDescent="0.25">
      <c r="A168" s="8">
        <v>288992</v>
      </c>
      <c r="B168" s="12" t="s">
        <v>272</v>
      </c>
      <c r="C168" s="12" t="s">
        <v>260</v>
      </c>
      <c r="D168" s="9">
        <v>0</v>
      </c>
      <c r="E168" s="9">
        <v>0</v>
      </c>
      <c r="F168" s="12">
        <v>1</v>
      </c>
      <c r="G168" s="9">
        <v>0</v>
      </c>
      <c r="H168" s="12">
        <v>10</v>
      </c>
      <c r="I168" s="12">
        <v>8</v>
      </c>
      <c r="J168" s="11">
        <f t="shared" si="44"/>
        <v>0.1</v>
      </c>
      <c r="K168" s="12">
        <v>180</v>
      </c>
      <c r="L168" s="12">
        <v>40</v>
      </c>
      <c r="M168" s="12">
        <v>18</v>
      </c>
      <c r="N168" s="12" t="s">
        <v>263</v>
      </c>
      <c r="O168" s="12">
        <v>4</v>
      </c>
      <c r="P168" s="12" t="s">
        <v>88</v>
      </c>
      <c r="Q168" s="12">
        <v>0</v>
      </c>
      <c r="R168" s="12">
        <v>25</v>
      </c>
      <c r="S168" s="12">
        <v>45</v>
      </c>
      <c r="T168" s="12">
        <v>22.5</v>
      </c>
      <c r="U168" s="10">
        <f t="shared" si="1"/>
        <v>0.4</v>
      </c>
      <c r="V168" s="12">
        <v>130</v>
      </c>
      <c r="W168" s="10">
        <f t="shared" si="43"/>
        <v>0.5</v>
      </c>
      <c r="X168" s="12">
        <v>15</v>
      </c>
      <c r="Y168" s="12">
        <v>8</v>
      </c>
      <c r="Z168" s="12">
        <v>0</v>
      </c>
      <c r="AA168" s="12">
        <v>0</v>
      </c>
      <c r="AB168" s="12">
        <v>2</v>
      </c>
      <c r="AC168" s="12">
        <v>1</v>
      </c>
      <c r="AD168" s="12">
        <v>0.5</v>
      </c>
      <c r="AE168" s="12">
        <v>20</v>
      </c>
      <c r="AF168" s="12">
        <v>0.5</v>
      </c>
      <c r="AG168" s="12">
        <v>0.45</v>
      </c>
      <c r="AH168" s="12">
        <v>2E-3</v>
      </c>
      <c r="AI168" s="24">
        <v>6</v>
      </c>
      <c r="AJ168" s="9">
        <f t="shared" si="4"/>
        <v>0</v>
      </c>
      <c r="AK168" s="12">
        <v>10</v>
      </c>
      <c r="AL168" s="12">
        <v>8</v>
      </c>
      <c r="AM168" s="12">
        <v>8.1999999999999993</v>
      </c>
      <c r="AN168" s="15">
        <v>0.5</v>
      </c>
      <c r="AO168" s="9">
        <f t="shared" si="41"/>
        <v>0.7</v>
      </c>
      <c r="AP168" s="12">
        <v>6</v>
      </c>
      <c r="AQ168" s="9">
        <f t="shared" si="45"/>
        <v>0.1</v>
      </c>
      <c r="AR168" s="12">
        <v>2.5</v>
      </c>
      <c r="AS168" s="12">
        <v>1</v>
      </c>
      <c r="AT168" s="12">
        <v>0.67</v>
      </c>
      <c r="AU168" s="12">
        <v>25</v>
      </c>
      <c r="AV168" s="15">
        <v>0.3</v>
      </c>
      <c r="AW168" s="12">
        <v>45</v>
      </c>
      <c r="AX168" s="9">
        <v>0.5</v>
      </c>
      <c r="AY168" s="12">
        <v>0</v>
      </c>
      <c r="AZ168" s="9">
        <v>0</v>
      </c>
      <c r="BA168" s="12">
        <v>0</v>
      </c>
      <c r="BB168" s="9">
        <v>0</v>
      </c>
      <c r="BC168" s="12">
        <v>28</v>
      </c>
      <c r="BD168" s="12">
        <v>20.5</v>
      </c>
      <c r="BE168" s="12">
        <v>6.5</v>
      </c>
      <c r="BF168" s="9">
        <f t="shared" si="8"/>
        <v>0.1</v>
      </c>
      <c r="BG168" s="9">
        <f t="shared" si="32"/>
        <v>2</v>
      </c>
      <c r="BH168" s="12">
        <v>6</v>
      </c>
      <c r="BI168" s="9">
        <f t="shared" si="10"/>
        <v>0</v>
      </c>
      <c r="BJ168" s="9">
        <v>6</v>
      </c>
      <c r="BK168" s="9">
        <v>0.56999999999999995</v>
      </c>
      <c r="BL168" s="15">
        <v>7</v>
      </c>
      <c r="BM168" s="14">
        <v>0.33</v>
      </c>
      <c r="BN168" s="8">
        <v>10.199999999999999</v>
      </c>
      <c r="BO168" s="14">
        <v>0</v>
      </c>
      <c r="BP168" s="14">
        <v>0</v>
      </c>
      <c r="BQ168" s="14">
        <v>0</v>
      </c>
      <c r="BR168" s="15">
        <v>0.49</v>
      </c>
      <c r="BS168" s="15">
        <f t="shared" si="29"/>
        <v>12.397080000000001</v>
      </c>
      <c r="BT168" s="14">
        <v>0</v>
      </c>
      <c r="BU168" s="14">
        <v>0</v>
      </c>
      <c r="BV168" s="15">
        <v>344</v>
      </c>
      <c r="BW168" s="15">
        <v>0.377</v>
      </c>
      <c r="BX168" s="15">
        <f t="shared" si="13"/>
        <v>0</v>
      </c>
      <c r="BY168" s="14">
        <f t="shared" si="14"/>
        <v>0</v>
      </c>
      <c r="BZ168" s="14">
        <f t="shared" si="15"/>
        <v>41.75</v>
      </c>
      <c r="CA168" s="14">
        <f t="shared" si="16"/>
        <v>0</v>
      </c>
      <c r="CB168" s="14">
        <f t="shared" si="17"/>
        <v>41.75</v>
      </c>
      <c r="CC168" s="15">
        <f t="shared" si="18"/>
        <v>2.0379999999999998</v>
      </c>
      <c r="CD168" s="14">
        <f t="shared" si="19"/>
        <v>85.09</v>
      </c>
      <c r="CE168" s="14">
        <f t="shared" si="20"/>
        <v>0.98499999999999999</v>
      </c>
      <c r="CF168" s="14">
        <f t="shared" si="21"/>
        <v>83.81</v>
      </c>
      <c r="CG168" s="14">
        <f t="shared" si="22"/>
        <v>11</v>
      </c>
    </row>
    <row r="169" spans="1:85" ht="13.2" x14ac:dyDescent="0.25">
      <c r="A169" s="8">
        <v>460793</v>
      </c>
      <c r="B169" s="12" t="s">
        <v>273</v>
      </c>
      <c r="C169" s="12" t="s">
        <v>260</v>
      </c>
      <c r="D169" s="9">
        <v>0</v>
      </c>
      <c r="E169" s="9">
        <v>0</v>
      </c>
      <c r="F169" s="12">
        <v>1</v>
      </c>
      <c r="G169" s="9">
        <v>0</v>
      </c>
      <c r="H169" s="12">
        <v>8</v>
      </c>
      <c r="I169" s="12">
        <v>12</v>
      </c>
      <c r="J169" s="11">
        <f t="shared" si="44"/>
        <v>0.1</v>
      </c>
      <c r="K169" s="12">
        <v>90</v>
      </c>
      <c r="L169" s="12">
        <v>35</v>
      </c>
      <c r="M169" s="12">
        <v>42</v>
      </c>
      <c r="N169" s="12" t="s">
        <v>263</v>
      </c>
      <c r="O169" s="12">
        <v>4</v>
      </c>
      <c r="P169" s="12" t="s">
        <v>88</v>
      </c>
      <c r="Q169" s="12">
        <v>0</v>
      </c>
      <c r="R169" s="12">
        <v>28</v>
      </c>
      <c r="S169" s="12">
        <v>40</v>
      </c>
      <c r="T169" s="12">
        <v>22</v>
      </c>
      <c r="U169" s="10">
        <f t="shared" si="1"/>
        <v>0.4</v>
      </c>
      <c r="V169" s="12">
        <v>125</v>
      </c>
      <c r="W169" s="10">
        <f t="shared" si="43"/>
        <v>0.5</v>
      </c>
      <c r="X169" s="12">
        <v>10</v>
      </c>
      <c r="Y169" s="12">
        <v>5</v>
      </c>
      <c r="Z169" s="12">
        <v>0</v>
      </c>
      <c r="AA169" s="12">
        <v>0</v>
      </c>
      <c r="AB169" s="12">
        <v>6</v>
      </c>
      <c r="AC169" s="12">
        <v>3</v>
      </c>
      <c r="AD169" s="12">
        <v>1</v>
      </c>
      <c r="AE169" s="12">
        <v>30</v>
      </c>
      <c r="AF169" s="12">
        <v>0.75</v>
      </c>
      <c r="AG169" s="12">
        <v>0.6</v>
      </c>
      <c r="AH169" s="12">
        <v>3.0000000000000001E-3</v>
      </c>
      <c r="AI169" s="24">
        <v>6.5</v>
      </c>
      <c r="AJ169" s="9">
        <f t="shared" si="4"/>
        <v>0</v>
      </c>
      <c r="AK169" s="12">
        <v>18</v>
      </c>
      <c r="AL169" s="12">
        <v>12</v>
      </c>
      <c r="AM169" s="12">
        <v>7.5</v>
      </c>
      <c r="AN169" s="15">
        <v>0.5</v>
      </c>
      <c r="AO169" s="9">
        <f t="shared" si="41"/>
        <v>0.6</v>
      </c>
      <c r="AP169" s="12">
        <v>5.8</v>
      </c>
      <c r="AQ169" s="9">
        <f t="shared" si="45"/>
        <v>0.2</v>
      </c>
      <c r="AR169" s="12">
        <v>3</v>
      </c>
      <c r="AS169" s="12">
        <v>1.5</v>
      </c>
      <c r="AT169" s="12">
        <v>1</v>
      </c>
      <c r="AU169" s="12">
        <v>20</v>
      </c>
      <c r="AV169" s="15">
        <v>0.1</v>
      </c>
      <c r="AW169" s="12">
        <v>35</v>
      </c>
      <c r="AX169" s="9">
        <v>0.4</v>
      </c>
      <c r="AY169" s="12">
        <v>0</v>
      </c>
      <c r="AZ169" s="9">
        <v>0</v>
      </c>
      <c r="BA169" s="12">
        <v>0</v>
      </c>
      <c r="BB169" s="9">
        <v>0</v>
      </c>
      <c r="BC169" s="12">
        <v>36</v>
      </c>
      <c r="BD169" s="12">
        <v>19.7</v>
      </c>
      <c r="BE169" s="12">
        <v>6.8</v>
      </c>
      <c r="BF169" s="9">
        <f t="shared" si="8"/>
        <v>0.2</v>
      </c>
      <c r="BG169" s="9">
        <f t="shared" si="32"/>
        <v>2</v>
      </c>
      <c r="BH169" s="12">
        <v>6.8</v>
      </c>
      <c r="BI169" s="9">
        <f t="shared" si="10"/>
        <v>0.3</v>
      </c>
      <c r="BJ169" s="9">
        <v>6</v>
      </c>
      <c r="BK169" s="9">
        <v>0.71</v>
      </c>
      <c r="BL169" s="15">
        <v>7</v>
      </c>
      <c r="BM169" s="14">
        <v>0.33</v>
      </c>
      <c r="BN169" s="8">
        <v>12.9</v>
      </c>
      <c r="BO169" s="14">
        <v>0</v>
      </c>
      <c r="BP169" s="14">
        <v>0</v>
      </c>
      <c r="BQ169" s="14">
        <v>0</v>
      </c>
      <c r="BR169" s="15">
        <v>0</v>
      </c>
      <c r="BS169" s="15">
        <f t="shared" si="29"/>
        <v>30.465999999999998</v>
      </c>
      <c r="BT169" s="14">
        <v>0</v>
      </c>
      <c r="BU169" s="14">
        <v>0</v>
      </c>
      <c r="BV169" s="15">
        <v>551.04999999999995</v>
      </c>
      <c r="BW169" s="15">
        <v>0.60199999999999998</v>
      </c>
      <c r="BX169" s="15">
        <f t="shared" si="13"/>
        <v>0</v>
      </c>
      <c r="BY169" s="14">
        <f t="shared" si="14"/>
        <v>0</v>
      </c>
      <c r="BZ169" s="14">
        <f t="shared" si="15"/>
        <v>49.5</v>
      </c>
      <c r="CA169" s="14">
        <f t="shared" si="16"/>
        <v>0</v>
      </c>
      <c r="CB169" s="14">
        <f t="shared" si="17"/>
        <v>49.5</v>
      </c>
      <c r="CC169" s="15">
        <f t="shared" si="18"/>
        <v>3.7469999999999999</v>
      </c>
      <c r="CD169" s="14">
        <f t="shared" si="19"/>
        <v>185.48</v>
      </c>
      <c r="CE169" s="14">
        <f t="shared" si="20"/>
        <v>0.97</v>
      </c>
      <c r="CF169" s="14">
        <f t="shared" si="21"/>
        <v>179.92</v>
      </c>
      <c r="CG169" s="14">
        <f t="shared" si="22"/>
        <v>6</v>
      </c>
    </row>
    <row r="170" spans="1:85" ht="13.2" x14ac:dyDescent="0.25">
      <c r="A170" s="8">
        <v>424377</v>
      </c>
      <c r="B170" s="12" t="s">
        <v>274</v>
      </c>
      <c r="C170" s="12" t="s">
        <v>260</v>
      </c>
      <c r="D170" s="9">
        <v>0</v>
      </c>
      <c r="E170" s="9">
        <v>0</v>
      </c>
      <c r="F170" s="12">
        <v>1</v>
      </c>
      <c r="G170" s="9">
        <v>0</v>
      </c>
      <c r="H170" s="12">
        <v>10</v>
      </c>
      <c r="I170" s="12">
        <v>12</v>
      </c>
      <c r="J170" s="11">
        <f t="shared" si="44"/>
        <v>0.1</v>
      </c>
      <c r="K170" s="12">
        <v>80</v>
      </c>
      <c r="L170" s="12">
        <v>32</v>
      </c>
      <c r="M170" s="12">
        <v>40</v>
      </c>
      <c r="N170" s="12" t="s">
        <v>263</v>
      </c>
      <c r="O170" s="12">
        <v>4</v>
      </c>
      <c r="P170" s="12" t="s">
        <v>88</v>
      </c>
      <c r="Q170" s="12">
        <v>0</v>
      </c>
      <c r="R170" s="12">
        <v>29</v>
      </c>
      <c r="S170" s="12">
        <v>35</v>
      </c>
      <c r="T170" s="12">
        <v>20</v>
      </c>
      <c r="U170" s="10">
        <f t="shared" si="1"/>
        <v>0.4</v>
      </c>
      <c r="V170" s="12">
        <v>125</v>
      </c>
      <c r="W170" s="10">
        <f t="shared" si="43"/>
        <v>0.5</v>
      </c>
      <c r="X170" s="12">
        <v>8</v>
      </c>
      <c r="Y170" s="12">
        <v>4</v>
      </c>
      <c r="Z170" s="12">
        <v>0</v>
      </c>
      <c r="AA170" s="12">
        <v>0</v>
      </c>
      <c r="AB170" s="12">
        <v>5</v>
      </c>
      <c r="AC170" s="12">
        <v>1</v>
      </c>
      <c r="AD170" s="12">
        <v>1</v>
      </c>
      <c r="AE170" s="12">
        <v>28</v>
      </c>
      <c r="AF170" s="12">
        <v>0.7</v>
      </c>
      <c r="AG170" s="12">
        <v>0.55000000000000004</v>
      </c>
      <c r="AH170" s="12">
        <v>3.0000000000000001E-3</v>
      </c>
      <c r="AI170" s="24">
        <v>6.2</v>
      </c>
      <c r="AJ170" s="9">
        <f t="shared" si="4"/>
        <v>0</v>
      </c>
      <c r="AK170" s="12">
        <v>15</v>
      </c>
      <c r="AL170" s="12">
        <v>11</v>
      </c>
      <c r="AM170" s="12">
        <v>7.8</v>
      </c>
      <c r="AN170" s="15">
        <v>0.5</v>
      </c>
      <c r="AO170" s="9">
        <f t="shared" si="41"/>
        <v>0.6</v>
      </c>
      <c r="AP170" s="12">
        <v>5.6</v>
      </c>
      <c r="AQ170" s="9">
        <f t="shared" si="45"/>
        <v>0.1</v>
      </c>
      <c r="AR170" s="12">
        <v>2.8</v>
      </c>
      <c r="AS170" s="12">
        <v>1.3</v>
      </c>
      <c r="AT170" s="12">
        <v>0.87</v>
      </c>
      <c r="AU170" s="12">
        <v>18</v>
      </c>
      <c r="AV170" s="15">
        <v>0.1</v>
      </c>
      <c r="AW170" s="12">
        <v>30</v>
      </c>
      <c r="AX170" s="9">
        <v>0.3</v>
      </c>
      <c r="AY170" s="12">
        <v>0</v>
      </c>
      <c r="AZ170" s="9">
        <v>0</v>
      </c>
      <c r="BA170" s="12">
        <v>0</v>
      </c>
      <c r="BB170" s="9">
        <v>0</v>
      </c>
      <c r="BC170" s="12">
        <v>34</v>
      </c>
      <c r="BD170" s="12">
        <v>21</v>
      </c>
      <c r="BE170" s="12">
        <v>6.9</v>
      </c>
      <c r="BF170" s="9">
        <f t="shared" si="8"/>
        <v>0.2</v>
      </c>
      <c r="BG170" s="9">
        <f t="shared" si="32"/>
        <v>2</v>
      </c>
      <c r="BH170" s="12">
        <v>6.5</v>
      </c>
      <c r="BI170" s="9">
        <f t="shared" si="10"/>
        <v>0.2</v>
      </c>
      <c r="BJ170" s="9">
        <v>6</v>
      </c>
      <c r="BK170" s="9">
        <v>0.86</v>
      </c>
      <c r="BL170" s="15">
        <v>7</v>
      </c>
      <c r="BM170" s="14">
        <v>0.33</v>
      </c>
      <c r="BN170" s="8">
        <v>12.1</v>
      </c>
      <c r="BO170" s="14">
        <v>0</v>
      </c>
      <c r="BP170" s="14">
        <v>0</v>
      </c>
      <c r="BQ170" s="14">
        <v>0</v>
      </c>
      <c r="BR170" s="15">
        <v>0</v>
      </c>
      <c r="BS170" s="15">
        <f t="shared" si="29"/>
        <v>28.415999999999997</v>
      </c>
      <c r="BT170" s="14">
        <v>0</v>
      </c>
      <c r="BU170" s="14">
        <v>0</v>
      </c>
      <c r="BV170" s="15">
        <v>517.15</v>
      </c>
      <c r="BW170" s="15">
        <v>0.56499999999999995</v>
      </c>
      <c r="BX170" s="15">
        <f t="shared" si="13"/>
        <v>0</v>
      </c>
      <c r="BY170" s="14">
        <f t="shared" si="14"/>
        <v>0</v>
      </c>
      <c r="BZ170" s="14">
        <f t="shared" si="15"/>
        <v>45.332999999999998</v>
      </c>
      <c r="CA170" s="14">
        <f t="shared" si="16"/>
        <v>0</v>
      </c>
      <c r="CB170" s="14">
        <f t="shared" si="17"/>
        <v>45.332999999999998</v>
      </c>
      <c r="CC170" s="15">
        <f t="shared" si="18"/>
        <v>3.5419999999999998</v>
      </c>
      <c r="CD170" s="14">
        <f t="shared" si="19"/>
        <v>160.57</v>
      </c>
      <c r="CE170" s="14">
        <f t="shared" si="20"/>
        <v>0.98499999999999999</v>
      </c>
      <c r="CF170" s="14">
        <f t="shared" si="21"/>
        <v>158.16</v>
      </c>
      <c r="CG170" s="14">
        <f t="shared" si="22"/>
        <v>8</v>
      </c>
    </row>
    <row r="171" spans="1:85" ht="13.2" x14ac:dyDescent="0.25">
      <c r="A171" s="8">
        <v>307390</v>
      </c>
      <c r="B171" s="12" t="s">
        <v>275</v>
      </c>
      <c r="C171" s="12" t="s">
        <v>260</v>
      </c>
      <c r="D171" s="9">
        <v>0</v>
      </c>
      <c r="E171" s="9">
        <v>0</v>
      </c>
      <c r="F171" s="12">
        <v>1</v>
      </c>
      <c r="G171" s="9">
        <v>0</v>
      </c>
      <c r="H171" s="12">
        <v>12</v>
      </c>
      <c r="I171" s="12">
        <v>14</v>
      </c>
      <c r="J171" s="11">
        <f t="shared" si="44"/>
        <v>0.1</v>
      </c>
      <c r="K171" s="12">
        <v>120</v>
      </c>
      <c r="L171" s="12">
        <v>35</v>
      </c>
      <c r="M171" s="12">
        <v>45</v>
      </c>
      <c r="N171" s="12" t="s">
        <v>263</v>
      </c>
      <c r="O171" s="12">
        <v>4</v>
      </c>
      <c r="P171" s="12" t="s">
        <v>88</v>
      </c>
      <c r="Q171" s="12">
        <v>0</v>
      </c>
      <c r="R171" s="12">
        <v>34</v>
      </c>
      <c r="S171" s="12">
        <v>50</v>
      </c>
      <c r="T171" s="12">
        <v>25</v>
      </c>
      <c r="U171" s="10">
        <f t="shared" si="1"/>
        <v>0.5</v>
      </c>
      <c r="V171" s="12">
        <v>135</v>
      </c>
      <c r="W171" s="10">
        <f t="shared" si="43"/>
        <v>0.6</v>
      </c>
      <c r="X171" s="12">
        <v>12</v>
      </c>
      <c r="Y171" s="12">
        <v>6</v>
      </c>
      <c r="Z171" s="12">
        <v>0</v>
      </c>
      <c r="AA171" s="12">
        <v>1</v>
      </c>
      <c r="AB171" s="12">
        <v>7</v>
      </c>
      <c r="AC171" s="12">
        <v>3</v>
      </c>
      <c r="AD171" s="12">
        <v>2</v>
      </c>
      <c r="AE171" s="12">
        <v>30</v>
      </c>
      <c r="AF171" s="12">
        <v>0.75</v>
      </c>
      <c r="AG171" s="12">
        <v>0.6</v>
      </c>
      <c r="AH171" s="12">
        <v>3.0000000000000001E-3</v>
      </c>
      <c r="AI171" s="24">
        <v>6.8</v>
      </c>
      <c r="AJ171" s="9">
        <f t="shared" si="4"/>
        <v>0</v>
      </c>
      <c r="AK171" s="12">
        <v>20</v>
      </c>
      <c r="AL171" s="12">
        <v>14</v>
      </c>
      <c r="AM171" s="12">
        <v>7.2</v>
      </c>
      <c r="AN171" s="15">
        <v>0.5</v>
      </c>
      <c r="AO171" s="9">
        <f t="shared" si="41"/>
        <v>0.6</v>
      </c>
      <c r="AP171" s="12">
        <v>5.7</v>
      </c>
      <c r="AQ171" s="9">
        <f t="shared" si="45"/>
        <v>0.2</v>
      </c>
      <c r="AR171" s="12">
        <v>3</v>
      </c>
      <c r="AS171" s="12">
        <v>1.4</v>
      </c>
      <c r="AT171" s="12">
        <v>0.93</v>
      </c>
      <c r="AU171" s="12">
        <v>22</v>
      </c>
      <c r="AV171" s="15">
        <v>0.2</v>
      </c>
      <c r="AW171" s="12">
        <v>32</v>
      </c>
      <c r="AX171" s="9">
        <v>0.3</v>
      </c>
      <c r="AY171" s="12">
        <v>0</v>
      </c>
      <c r="AZ171" s="9">
        <v>0</v>
      </c>
      <c r="BA171" s="12">
        <v>0</v>
      </c>
      <c r="BB171" s="9">
        <v>0</v>
      </c>
      <c r="BC171" s="12">
        <v>36</v>
      </c>
      <c r="BD171" s="12">
        <v>20.8</v>
      </c>
      <c r="BE171" s="12">
        <v>7</v>
      </c>
      <c r="BF171" s="9">
        <f t="shared" si="8"/>
        <v>0.3</v>
      </c>
      <c r="BG171" s="9">
        <f t="shared" si="32"/>
        <v>2</v>
      </c>
      <c r="BH171" s="12">
        <v>7</v>
      </c>
      <c r="BI171" s="9">
        <f t="shared" si="10"/>
        <v>0.3</v>
      </c>
      <c r="BJ171" s="9">
        <v>8</v>
      </c>
      <c r="BK171" s="9">
        <v>0.71</v>
      </c>
      <c r="BL171" s="15">
        <v>7</v>
      </c>
      <c r="BM171" s="14">
        <v>0.33</v>
      </c>
      <c r="BN171" s="8">
        <v>13.4</v>
      </c>
      <c r="BO171" s="14">
        <v>0</v>
      </c>
      <c r="BP171" s="14">
        <v>0</v>
      </c>
      <c r="BQ171" s="14">
        <v>0</v>
      </c>
      <c r="BR171" s="15">
        <v>0</v>
      </c>
      <c r="BS171" s="15">
        <f t="shared" si="29"/>
        <v>31.524000000000001</v>
      </c>
      <c r="BT171" s="14">
        <v>0</v>
      </c>
      <c r="BU171" s="14">
        <v>0</v>
      </c>
      <c r="BV171" s="15">
        <v>558.01</v>
      </c>
      <c r="BW171" s="15">
        <v>0.60899999999999999</v>
      </c>
      <c r="BX171" s="15">
        <f t="shared" si="13"/>
        <v>0</v>
      </c>
      <c r="BY171" s="14">
        <f t="shared" si="14"/>
        <v>0</v>
      </c>
      <c r="BZ171" s="14">
        <f t="shared" si="15"/>
        <v>49.917000000000002</v>
      </c>
      <c r="CA171" s="14">
        <f t="shared" si="16"/>
        <v>0</v>
      </c>
      <c r="CB171" s="14">
        <f t="shared" si="17"/>
        <v>49.917000000000002</v>
      </c>
      <c r="CC171" s="15">
        <f t="shared" si="18"/>
        <v>3.8519999999999999</v>
      </c>
      <c r="CD171" s="14">
        <f t="shared" si="19"/>
        <v>192.28</v>
      </c>
      <c r="CE171" s="14">
        <f t="shared" si="20"/>
        <v>0.97</v>
      </c>
      <c r="CF171" s="14">
        <f t="shared" si="21"/>
        <v>186.51</v>
      </c>
      <c r="CG171" s="14">
        <f t="shared" si="22"/>
        <v>5</v>
      </c>
    </row>
    <row r="172" spans="1:85" ht="13.2" x14ac:dyDescent="0.25">
      <c r="A172" s="8">
        <v>461632</v>
      </c>
      <c r="B172" s="9" t="s">
        <v>276</v>
      </c>
      <c r="C172" s="9" t="s">
        <v>260</v>
      </c>
      <c r="D172" s="9">
        <v>0</v>
      </c>
      <c r="E172" s="9">
        <v>0</v>
      </c>
      <c r="F172" s="12">
        <v>1</v>
      </c>
      <c r="G172" s="9">
        <v>0</v>
      </c>
      <c r="H172" s="9">
        <v>11</v>
      </c>
      <c r="I172" s="9">
        <v>12</v>
      </c>
      <c r="J172" s="11">
        <f t="shared" si="44"/>
        <v>0</v>
      </c>
      <c r="K172" s="9">
        <v>41</v>
      </c>
      <c r="L172" s="9">
        <v>0</v>
      </c>
      <c r="M172" s="9">
        <v>0.1</v>
      </c>
      <c r="N172" s="9" t="s">
        <v>263</v>
      </c>
      <c r="O172" s="9">
        <v>4</v>
      </c>
      <c r="P172" s="9" t="s">
        <v>101</v>
      </c>
      <c r="Q172" s="9">
        <v>1</v>
      </c>
      <c r="R172" s="9">
        <v>35</v>
      </c>
      <c r="S172" s="9">
        <v>61</v>
      </c>
      <c r="T172" s="9">
        <v>38.71</v>
      </c>
      <c r="U172" s="10">
        <f t="shared" si="1"/>
        <v>0.7</v>
      </c>
      <c r="V172" s="9">
        <v>110.81</v>
      </c>
      <c r="W172" s="10">
        <f t="shared" si="43"/>
        <v>0.4</v>
      </c>
      <c r="X172" s="9">
        <v>15</v>
      </c>
      <c r="Y172" s="9">
        <v>10</v>
      </c>
      <c r="Z172" s="9">
        <v>0</v>
      </c>
      <c r="AA172" s="9">
        <v>0</v>
      </c>
      <c r="AB172" s="9">
        <v>6.5</v>
      </c>
      <c r="AC172" s="9">
        <f t="shared" ref="AC172:AC185" si="48">IF(AB172&gt;AD172, 3,IF(AB172&lt;AD172, 1, 2))</f>
        <v>3</v>
      </c>
      <c r="AD172" s="9">
        <v>2</v>
      </c>
      <c r="AE172" s="9">
        <v>0.6</v>
      </c>
      <c r="AF172" s="9">
        <v>1.4999999999999999E-2</v>
      </c>
      <c r="AG172" s="9">
        <v>2.1</v>
      </c>
      <c r="AH172" s="9">
        <v>1.0999999999999999E-2</v>
      </c>
      <c r="AI172" s="13">
        <v>35</v>
      </c>
      <c r="AJ172" s="9">
        <f t="shared" si="4"/>
        <v>0.4</v>
      </c>
      <c r="AK172" s="9">
        <v>17</v>
      </c>
      <c r="AL172" s="9">
        <v>4</v>
      </c>
      <c r="AM172" s="9">
        <v>10.61</v>
      </c>
      <c r="AN172" s="15">
        <v>0.5</v>
      </c>
      <c r="AO172" s="9">
        <f t="shared" si="41"/>
        <v>0.5</v>
      </c>
      <c r="AP172" s="9">
        <v>4.5999999999999996</v>
      </c>
      <c r="AQ172" s="9">
        <f t="shared" si="45"/>
        <v>0.3</v>
      </c>
      <c r="AR172" s="9">
        <v>3.5</v>
      </c>
      <c r="AS172" s="9">
        <v>0.4</v>
      </c>
      <c r="AT172" s="9">
        <v>0.27</v>
      </c>
      <c r="AU172" s="9">
        <v>20</v>
      </c>
      <c r="AV172" s="15">
        <v>0.1</v>
      </c>
      <c r="AW172" s="9">
        <v>5</v>
      </c>
      <c r="AX172" s="9">
        <v>0.1</v>
      </c>
      <c r="AY172" s="9">
        <v>0</v>
      </c>
      <c r="AZ172" s="9">
        <v>0</v>
      </c>
      <c r="BA172" s="9">
        <v>0</v>
      </c>
      <c r="BB172" s="9">
        <v>0</v>
      </c>
      <c r="BC172" s="9">
        <v>95</v>
      </c>
      <c r="BD172" s="9">
        <v>55</v>
      </c>
      <c r="BE172" s="9">
        <v>7</v>
      </c>
      <c r="BF172" s="9">
        <f t="shared" si="8"/>
        <v>0.3</v>
      </c>
      <c r="BG172" s="9">
        <f t="shared" si="32"/>
        <v>2</v>
      </c>
      <c r="BH172" s="9">
        <v>6</v>
      </c>
      <c r="BI172" s="9">
        <f t="shared" si="10"/>
        <v>0</v>
      </c>
      <c r="BJ172" s="9">
        <v>7</v>
      </c>
      <c r="BK172" s="9">
        <v>0.71</v>
      </c>
      <c r="BL172" s="15">
        <v>7</v>
      </c>
      <c r="BM172" s="14">
        <v>0.33</v>
      </c>
      <c r="BN172" s="8">
        <v>0.3</v>
      </c>
      <c r="BO172" s="14">
        <v>0</v>
      </c>
      <c r="BP172" s="14">
        <v>0</v>
      </c>
      <c r="BQ172" s="14">
        <v>0</v>
      </c>
      <c r="BR172" s="15">
        <v>0.71</v>
      </c>
      <c r="BS172" s="15">
        <f t="shared" si="29"/>
        <v>3.1029999999999999E-2</v>
      </c>
      <c r="BT172" s="14">
        <v>0</v>
      </c>
      <c r="BU172" s="14">
        <v>0</v>
      </c>
      <c r="BV172" s="15">
        <v>775.07</v>
      </c>
      <c r="BW172" s="15">
        <v>0.84399999999999997</v>
      </c>
      <c r="BX172" s="15">
        <f t="shared" si="13"/>
        <v>0</v>
      </c>
      <c r="BY172" s="14">
        <f t="shared" si="14"/>
        <v>0</v>
      </c>
      <c r="BZ172" s="14">
        <f t="shared" si="15"/>
        <v>3.25</v>
      </c>
      <c r="CA172" s="14">
        <f t="shared" si="16"/>
        <v>0</v>
      </c>
      <c r="CB172" s="14">
        <f t="shared" si="17"/>
        <v>3.25</v>
      </c>
      <c r="CC172" s="15">
        <f t="shared" si="18"/>
        <v>0.84499999999999997</v>
      </c>
      <c r="CD172" s="14">
        <f t="shared" si="19"/>
        <v>2.75</v>
      </c>
      <c r="CE172" s="14">
        <f t="shared" si="20"/>
        <v>0.95499999999999996</v>
      </c>
      <c r="CF172" s="14">
        <f t="shared" si="21"/>
        <v>2.63</v>
      </c>
      <c r="CG172" s="14">
        <f t="shared" si="22"/>
        <v>184</v>
      </c>
    </row>
    <row r="173" spans="1:85" ht="13.2" x14ac:dyDescent="0.25">
      <c r="A173" s="8">
        <v>1244751</v>
      </c>
      <c r="B173" s="9" t="s">
        <v>277</v>
      </c>
      <c r="C173" s="9" t="s">
        <v>260</v>
      </c>
      <c r="D173" s="9">
        <v>0</v>
      </c>
      <c r="E173" s="9">
        <v>0</v>
      </c>
      <c r="F173" s="12">
        <v>1</v>
      </c>
      <c r="G173" s="9">
        <v>0</v>
      </c>
      <c r="H173" s="9">
        <v>5</v>
      </c>
      <c r="I173" s="9">
        <v>16</v>
      </c>
      <c r="J173" s="11">
        <f t="shared" si="44"/>
        <v>0.5</v>
      </c>
      <c r="K173" s="9">
        <v>710</v>
      </c>
      <c r="L173" s="9">
        <v>0</v>
      </c>
      <c r="M173" s="9">
        <v>0.1</v>
      </c>
      <c r="N173" s="9" t="s">
        <v>263</v>
      </c>
      <c r="O173" s="9">
        <v>4</v>
      </c>
      <c r="P173" s="9" t="s">
        <v>88</v>
      </c>
      <c r="Q173" s="9">
        <v>0</v>
      </c>
      <c r="R173" s="9">
        <v>27</v>
      </c>
      <c r="S173" s="9">
        <v>0</v>
      </c>
      <c r="T173" s="9">
        <v>43.75</v>
      </c>
      <c r="U173" s="10">
        <f t="shared" si="1"/>
        <v>0.8</v>
      </c>
      <c r="V173" s="9">
        <v>180.2</v>
      </c>
      <c r="W173" s="10">
        <f t="shared" si="43"/>
        <v>0.8</v>
      </c>
      <c r="X173" s="9">
        <v>190</v>
      </c>
      <c r="Y173" s="9">
        <v>150</v>
      </c>
      <c r="Z173" s="9">
        <v>8</v>
      </c>
      <c r="AA173" s="9">
        <v>2</v>
      </c>
      <c r="AB173" s="9">
        <v>0</v>
      </c>
      <c r="AC173" s="9">
        <f t="shared" si="48"/>
        <v>1</v>
      </c>
      <c r="AD173" s="9">
        <v>2</v>
      </c>
      <c r="AE173" s="9">
        <v>0.7</v>
      </c>
      <c r="AF173" s="9">
        <v>1.7500000000000002E-2</v>
      </c>
      <c r="AG173" s="9">
        <v>2.2000000000000002</v>
      </c>
      <c r="AH173" s="9">
        <v>1.0999999999999999E-2</v>
      </c>
      <c r="AI173" s="13">
        <v>42</v>
      </c>
      <c r="AJ173" s="9">
        <f t="shared" si="4"/>
        <v>0.5</v>
      </c>
      <c r="AK173" s="9">
        <v>4</v>
      </c>
      <c r="AL173" s="9">
        <v>1</v>
      </c>
      <c r="AM173" s="9">
        <v>9.2100000000000009</v>
      </c>
      <c r="AN173" s="15">
        <v>0.5</v>
      </c>
      <c r="AO173" s="9">
        <f t="shared" si="41"/>
        <v>0.8</v>
      </c>
      <c r="AP173" s="9">
        <v>7.3</v>
      </c>
      <c r="AQ173" s="9">
        <f t="shared" si="45"/>
        <v>0.3</v>
      </c>
      <c r="AR173" s="9">
        <v>3.5</v>
      </c>
      <c r="AS173" s="9">
        <v>0.7</v>
      </c>
      <c r="AT173" s="9">
        <v>0.47</v>
      </c>
      <c r="AU173" s="9">
        <v>35</v>
      </c>
      <c r="AV173" s="15">
        <v>0.6</v>
      </c>
      <c r="AW173" s="9">
        <v>85</v>
      </c>
      <c r="AX173" s="9">
        <v>0.9</v>
      </c>
      <c r="AY173" s="9">
        <v>0</v>
      </c>
      <c r="AZ173" s="9">
        <v>0</v>
      </c>
      <c r="BA173" s="9">
        <v>0</v>
      </c>
      <c r="BB173" s="9">
        <v>0</v>
      </c>
      <c r="BC173" s="9">
        <v>15</v>
      </c>
      <c r="BD173" s="9">
        <v>28</v>
      </c>
      <c r="BE173" s="9">
        <v>7</v>
      </c>
      <c r="BF173" s="9">
        <f t="shared" si="8"/>
        <v>0.3</v>
      </c>
      <c r="BG173" s="9">
        <f t="shared" si="32"/>
        <v>1</v>
      </c>
      <c r="BH173" s="9">
        <v>6</v>
      </c>
      <c r="BI173" s="9">
        <f t="shared" si="10"/>
        <v>0</v>
      </c>
      <c r="BJ173" s="9">
        <v>6</v>
      </c>
      <c r="BK173" s="9">
        <v>0.86</v>
      </c>
      <c r="BL173" s="15">
        <v>7</v>
      </c>
      <c r="BM173" s="14">
        <v>0.33</v>
      </c>
      <c r="BN173" s="8">
        <v>0.4</v>
      </c>
      <c r="BO173" s="14">
        <v>0</v>
      </c>
      <c r="BP173" s="14">
        <v>0</v>
      </c>
      <c r="BQ173" s="14">
        <v>0</v>
      </c>
      <c r="BR173" s="15">
        <v>0</v>
      </c>
      <c r="BS173" s="15">
        <f t="shared" si="29"/>
        <v>0.11899999999999999</v>
      </c>
      <c r="BT173" s="14">
        <v>0</v>
      </c>
      <c r="BU173" s="14">
        <v>0</v>
      </c>
      <c r="BV173" s="15">
        <v>147.77000000000001</v>
      </c>
      <c r="BW173" s="15">
        <v>0.16500000000000001</v>
      </c>
      <c r="BX173" s="15">
        <f t="shared" si="13"/>
        <v>0</v>
      </c>
      <c r="BY173" s="14">
        <f t="shared" si="14"/>
        <v>0</v>
      </c>
      <c r="BZ173" s="14">
        <f t="shared" si="15"/>
        <v>15.583</v>
      </c>
      <c r="CA173" s="14">
        <f t="shared" si="16"/>
        <v>0</v>
      </c>
      <c r="CB173" s="14">
        <f t="shared" si="17"/>
        <v>15.583</v>
      </c>
      <c r="CC173" s="15">
        <f t="shared" si="18"/>
        <v>0.71199999999999997</v>
      </c>
      <c r="CD173" s="14">
        <f t="shared" si="19"/>
        <v>11.1</v>
      </c>
      <c r="CE173" s="14">
        <f t="shared" si="20"/>
        <v>0.95499999999999996</v>
      </c>
      <c r="CF173" s="14">
        <f t="shared" si="21"/>
        <v>10.6</v>
      </c>
      <c r="CG173" s="14">
        <f t="shared" si="22"/>
        <v>178</v>
      </c>
    </row>
    <row r="174" spans="1:85" ht="13.2" x14ac:dyDescent="0.25">
      <c r="A174" s="8">
        <v>669855</v>
      </c>
      <c r="B174" s="9" t="s">
        <v>278</v>
      </c>
      <c r="C174" s="9" t="s">
        <v>260</v>
      </c>
      <c r="D174" s="9">
        <v>0</v>
      </c>
      <c r="E174" s="9">
        <v>0</v>
      </c>
      <c r="F174" s="12">
        <v>1</v>
      </c>
      <c r="G174" s="9">
        <v>0</v>
      </c>
      <c r="H174" s="9">
        <v>9</v>
      </c>
      <c r="I174" s="9">
        <v>16</v>
      </c>
      <c r="J174" s="11">
        <f t="shared" si="44"/>
        <v>0</v>
      </c>
      <c r="K174" s="9">
        <v>65</v>
      </c>
      <c r="L174" s="9">
        <v>6</v>
      </c>
      <c r="M174" s="9">
        <v>0.3</v>
      </c>
      <c r="N174" s="9" t="s">
        <v>263</v>
      </c>
      <c r="O174" s="9">
        <v>4</v>
      </c>
      <c r="P174" s="9" t="s">
        <v>88</v>
      </c>
      <c r="Q174" s="9">
        <v>0</v>
      </c>
      <c r="R174" s="9">
        <v>30</v>
      </c>
      <c r="S174" s="9">
        <v>6</v>
      </c>
      <c r="T174" s="9">
        <v>35.479999999999997</v>
      </c>
      <c r="U174" s="10">
        <f t="shared" si="1"/>
        <v>0.6</v>
      </c>
      <c r="V174" s="9">
        <v>85.53</v>
      </c>
      <c r="W174" s="10">
        <f t="shared" si="43"/>
        <v>0.3</v>
      </c>
      <c r="X174" s="9">
        <v>30</v>
      </c>
      <c r="Y174" s="9">
        <v>25</v>
      </c>
      <c r="Z174" s="9">
        <v>0</v>
      </c>
      <c r="AA174" s="9">
        <v>0</v>
      </c>
      <c r="AB174" s="9">
        <v>10.75</v>
      </c>
      <c r="AC174" s="9">
        <f t="shared" si="48"/>
        <v>3</v>
      </c>
      <c r="AD174" s="9">
        <v>2</v>
      </c>
      <c r="AE174" s="9">
        <v>0.5</v>
      </c>
      <c r="AF174" s="9">
        <v>1.2500000000000001E-2</v>
      </c>
      <c r="AG174" s="9">
        <v>2.1</v>
      </c>
      <c r="AH174" s="9">
        <v>1.0999999999999999E-2</v>
      </c>
      <c r="AI174" s="13">
        <v>42</v>
      </c>
      <c r="AJ174" s="9">
        <f t="shared" si="4"/>
        <v>0.5</v>
      </c>
      <c r="AK174" s="9">
        <v>27</v>
      </c>
      <c r="AL174" s="9">
        <v>4</v>
      </c>
      <c r="AM174" s="9">
        <v>8.8699999999999992</v>
      </c>
      <c r="AN174" s="15">
        <v>0.4</v>
      </c>
      <c r="AO174" s="9">
        <f t="shared" si="41"/>
        <v>0.6</v>
      </c>
      <c r="AP174" s="9">
        <v>5.05</v>
      </c>
      <c r="AQ174" s="9">
        <f t="shared" si="45"/>
        <v>0.2</v>
      </c>
      <c r="AR174" s="9">
        <v>3</v>
      </c>
      <c r="AS174" s="9">
        <v>0.45</v>
      </c>
      <c r="AT174" s="9">
        <v>0.3</v>
      </c>
      <c r="AU174" s="9">
        <v>31</v>
      </c>
      <c r="AV174" s="15">
        <v>0.4</v>
      </c>
      <c r="AW174" s="9">
        <v>10</v>
      </c>
      <c r="AX174" s="9">
        <v>0.1</v>
      </c>
      <c r="AY174" s="9">
        <v>0</v>
      </c>
      <c r="AZ174" s="9">
        <v>0</v>
      </c>
      <c r="BA174" s="9">
        <v>0</v>
      </c>
      <c r="BB174" s="9">
        <v>0</v>
      </c>
      <c r="BC174" s="9">
        <v>90</v>
      </c>
      <c r="BD174" s="9">
        <v>35</v>
      </c>
      <c r="BE174" s="9">
        <v>7</v>
      </c>
      <c r="BF174" s="9">
        <f t="shared" si="8"/>
        <v>0.3</v>
      </c>
      <c r="BG174" s="9">
        <f t="shared" si="32"/>
        <v>2</v>
      </c>
      <c r="BH174" s="9">
        <v>6</v>
      </c>
      <c r="BI174" s="9">
        <f t="shared" si="10"/>
        <v>0</v>
      </c>
      <c r="BJ174" s="9">
        <v>9</v>
      </c>
      <c r="BK174" s="9">
        <v>0.43</v>
      </c>
      <c r="BL174" s="15">
        <v>8</v>
      </c>
      <c r="BM174" s="14">
        <v>0.67</v>
      </c>
      <c r="BN174" s="8">
        <v>1.4</v>
      </c>
      <c r="BO174" s="14">
        <v>0</v>
      </c>
      <c r="BP174" s="14">
        <v>0</v>
      </c>
      <c r="BQ174" s="14">
        <v>0</v>
      </c>
      <c r="BR174" s="15">
        <v>0</v>
      </c>
      <c r="BS174" s="15">
        <f t="shared" si="29"/>
        <v>2.8890000000000002</v>
      </c>
      <c r="BT174" s="14">
        <v>0</v>
      </c>
      <c r="BU174" s="14">
        <v>0</v>
      </c>
      <c r="BV174" s="15">
        <v>760.29</v>
      </c>
      <c r="BW174" s="15">
        <v>0.82799999999999996</v>
      </c>
      <c r="BX174" s="15">
        <f t="shared" si="13"/>
        <v>0</v>
      </c>
      <c r="BY174" s="14">
        <f t="shared" si="14"/>
        <v>0</v>
      </c>
      <c r="BZ174" s="14">
        <f t="shared" si="15"/>
        <v>6.9169999999999998</v>
      </c>
      <c r="CA174" s="14">
        <f t="shared" si="16"/>
        <v>0</v>
      </c>
      <c r="CB174" s="14">
        <f t="shared" si="17"/>
        <v>6.9169999999999998</v>
      </c>
      <c r="CC174" s="15">
        <f t="shared" si="18"/>
        <v>0.98899999999999999</v>
      </c>
      <c r="CD174" s="14">
        <f t="shared" si="19"/>
        <v>6.84</v>
      </c>
      <c r="CE174" s="14">
        <f t="shared" si="20"/>
        <v>0.97</v>
      </c>
      <c r="CF174" s="14">
        <f t="shared" si="21"/>
        <v>6.63</v>
      </c>
      <c r="CG174" s="14">
        <f t="shared" si="22"/>
        <v>181</v>
      </c>
    </row>
    <row r="175" spans="1:85" ht="13.2" x14ac:dyDescent="0.25">
      <c r="A175" s="8">
        <v>276298</v>
      </c>
      <c r="B175" s="9" t="s">
        <v>279</v>
      </c>
      <c r="C175" s="9" t="s">
        <v>260</v>
      </c>
      <c r="D175" s="9">
        <v>0</v>
      </c>
      <c r="E175" s="9">
        <v>0</v>
      </c>
      <c r="F175" s="12">
        <v>1</v>
      </c>
      <c r="G175" s="9">
        <v>0</v>
      </c>
      <c r="H175" s="9">
        <v>11</v>
      </c>
      <c r="I175" s="9">
        <v>5</v>
      </c>
      <c r="J175" s="11">
        <f t="shared" si="44"/>
        <v>0</v>
      </c>
      <c r="K175" s="9">
        <v>24</v>
      </c>
      <c r="L175" s="9">
        <v>4.7</v>
      </c>
      <c r="M175" s="9">
        <v>0.2</v>
      </c>
      <c r="N175" s="9" t="s">
        <v>263</v>
      </c>
      <c r="O175" s="9">
        <v>4</v>
      </c>
      <c r="P175" s="9" t="s">
        <v>88</v>
      </c>
      <c r="Q175" s="9">
        <v>0</v>
      </c>
      <c r="R175" s="9">
        <v>33</v>
      </c>
      <c r="S175" s="9">
        <v>0</v>
      </c>
      <c r="T175" s="9">
        <v>29.77</v>
      </c>
      <c r="U175" s="10">
        <f t="shared" si="1"/>
        <v>0.5</v>
      </c>
      <c r="V175" s="9">
        <v>72.73</v>
      </c>
      <c r="W175" s="10">
        <f t="shared" si="43"/>
        <v>0.3</v>
      </c>
      <c r="X175" s="9">
        <v>15</v>
      </c>
      <c r="Y175" s="9">
        <v>15</v>
      </c>
      <c r="Z175" s="9">
        <v>0</v>
      </c>
      <c r="AA175" s="9">
        <v>0</v>
      </c>
      <c r="AB175" s="9">
        <v>11</v>
      </c>
      <c r="AC175" s="9">
        <f t="shared" si="48"/>
        <v>3</v>
      </c>
      <c r="AD175" s="9">
        <v>2</v>
      </c>
      <c r="AE175" s="9">
        <v>0.6</v>
      </c>
      <c r="AF175" s="9">
        <v>1.4999999999999999E-2</v>
      </c>
      <c r="AG175" s="9">
        <v>2</v>
      </c>
      <c r="AH175" s="9">
        <v>0.01</v>
      </c>
      <c r="AI175" s="13">
        <v>38</v>
      </c>
      <c r="AJ175" s="9">
        <f t="shared" si="4"/>
        <v>0.4</v>
      </c>
      <c r="AK175" s="9">
        <v>26</v>
      </c>
      <c r="AL175" s="9">
        <v>4</v>
      </c>
      <c r="AM175" s="9">
        <v>8.2200000000000006</v>
      </c>
      <c r="AN175" s="15">
        <v>0.6</v>
      </c>
      <c r="AO175" s="9">
        <f t="shared" si="41"/>
        <v>0.4</v>
      </c>
      <c r="AP175" s="9">
        <v>3.7</v>
      </c>
      <c r="AQ175" s="9">
        <f t="shared" si="45"/>
        <v>0.2</v>
      </c>
      <c r="AR175" s="9">
        <v>3</v>
      </c>
      <c r="AS175" s="9">
        <v>0.3</v>
      </c>
      <c r="AT175" s="9">
        <v>0.2</v>
      </c>
      <c r="AU175" s="9">
        <v>30</v>
      </c>
      <c r="AV175" s="15">
        <v>0.4</v>
      </c>
      <c r="AW175" s="9">
        <v>10</v>
      </c>
      <c r="AX175" s="9">
        <v>0.1</v>
      </c>
      <c r="AY175" s="9">
        <v>0</v>
      </c>
      <c r="AZ175" s="9">
        <v>0</v>
      </c>
      <c r="BA175" s="9">
        <v>0</v>
      </c>
      <c r="BB175" s="9">
        <v>0</v>
      </c>
      <c r="BC175" s="9">
        <v>90</v>
      </c>
      <c r="BD175" s="9">
        <v>40</v>
      </c>
      <c r="BE175" s="9">
        <v>7</v>
      </c>
      <c r="BF175" s="9">
        <f t="shared" si="8"/>
        <v>0.3</v>
      </c>
      <c r="BG175" s="9">
        <f t="shared" si="32"/>
        <v>2</v>
      </c>
      <c r="BH175" s="9">
        <v>6</v>
      </c>
      <c r="BI175" s="9">
        <f t="shared" si="10"/>
        <v>0</v>
      </c>
      <c r="BJ175" s="9">
        <v>7</v>
      </c>
      <c r="BK175" s="9">
        <v>0.56999999999999995</v>
      </c>
      <c r="BL175" s="15">
        <v>8</v>
      </c>
      <c r="BM175" s="14">
        <v>0.67</v>
      </c>
      <c r="BN175" s="8">
        <v>1.1000000000000001</v>
      </c>
      <c r="BO175" s="14">
        <v>0</v>
      </c>
      <c r="BP175" s="14">
        <v>0</v>
      </c>
      <c r="BQ175" s="14">
        <v>0</v>
      </c>
      <c r="BR175" s="15">
        <v>0</v>
      </c>
      <c r="BS175" s="15">
        <f t="shared" si="29"/>
        <v>2.2570000000000001</v>
      </c>
      <c r="BT175" s="14">
        <v>0</v>
      </c>
      <c r="BU175" s="14">
        <v>0</v>
      </c>
      <c r="BV175" s="15">
        <v>755.24</v>
      </c>
      <c r="BW175" s="15">
        <v>0.82199999999999995</v>
      </c>
      <c r="BX175" s="15">
        <f t="shared" si="13"/>
        <v>0</v>
      </c>
      <c r="BY175" s="14">
        <f t="shared" si="14"/>
        <v>0</v>
      </c>
      <c r="BZ175" s="14">
        <f t="shared" si="15"/>
        <v>5.9169999999999998</v>
      </c>
      <c r="CA175" s="14">
        <f t="shared" si="16"/>
        <v>0</v>
      </c>
      <c r="CB175" s="14">
        <f t="shared" si="17"/>
        <v>5.9169999999999998</v>
      </c>
      <c r="CC175" s="15">
        <f t="shared" si="18"/>
        <v>0.92600000000000005</v>
      </c>
      <c r="CD175" s="14">
        <f t="shared" si="19"/>
        <v>5.48</v>
      </c>
      <c r="CE175" s="14">
        <f t="shared" si="20"/>
        <v>0.97</v>
      </c>
      <c r="CF175" s="14">
        <f t="shared" si="21"/>
        <v>5.32</v>
      </c>
      <c r="CG175" s="14">
        <f t="shared" si="22"/>
        <v>182</v>
      </c>
    </row>
    <row r="176" spans="1:85" ht="13.2" x14ac:dyDescent="0.25">
      <c r="A176" s="8">
        <v>535890</v>
      </c>
      <c r="B176" s="9" t="s">
        <v>280</v>
      </c>
      <c r="C176" s="9" t="s">
        <v>260</v>
      </c>
      <c r="D176" s="9">
        <v>0</v>
      </c>
      <c r="E176" s="9">
        <v>0</v>
      </c>
      <c r="F176" s="12">
        <v>1</v>
      </c>
      <c r="G176" s="9">
        <v>0</v>
      </c>
      <c r="H176" s="9">
        <v>11</v>
      </c>
      <c r="I176" s="9">
        <v>8</v>
      </c>
      <c r="J176" s="11">
        <f t="shared" si="44"/>
        <v>0.3</v>
      </c>
      <c r="K176" s="9">
        <v>468</v>
      </c>
      <c r="L176" s="9">
        <v>3.4</v>
      </c>
      <c r="M176" s="9">
        <v>0.1</v>
      </c>
      <c r="N176" s="9" t="s">
        <v>263</v>
      </c>
      <c r="O176" s="9">
        <v>4</v>
      </c>
      <c r="P176" s="9" t="s">
        <v>101</v>
      </c>
      <c r="Q176" s="9">
        <v>1</v>
      </c>
      <c r="R176" s="9">
        <v>36</v>
      </c>
      <c r="S176" s="9">
        <v>0</v>
      </c>
      <c r="T176" s="9">
        <v>85</v>
      </c>
      <c r="U176" s="10">
        <f t="shared" si="1"/>
        <v>1.5</v>
      </c>
      <c r="V176" s="9">
        <v>125.13</v>
      </c>
      <c r="W176" s="10">
        <f t="shared" si="43"/>
        <v>0.5</v>
      </c>
      <c r="X176" s="9">
        <v>170</v>
      </c>
      <c r="Y176" s="9">
        <v>130</v>
      </c>
      <c r="Z176" s="9">
        <v>9</v>
      </c>
      <c r="AA176" s="9">
        <v>1</v>
      </c>
      <c r="AB176" s="9">
        <v>2</v>
      </c>
      <c r="AC176" s="9">
        <f t="shared" si="48"/>
        <v>2</v>
      </c>
      <c r="AD176" s="9">
        <v>2</v>
      </c>
      <c r="AE176" s="9">
        <v>0.7</v>
      </c>
      <c r="AF176" s="9">
        <v>1.7500000000000002E-2</v>
      </c>
      <c r="AG176" s="9">
        <v>3</v>
      </c>
      <c r="AH176" s="9">
        <v>1.4999999999999999E-2</v>
      </c>
      <c r="AI176" s="13">
        <v>28</v>
      </c>
      <c r="AJ176" s="9">
        <f t="shared" si="4"/>
        <v>0.3</v>
      </c>
      <c r="AK176" s="9">
        <v>1</v>
      </c>
      <c r="AL176" s="9">
        <v>1.5</v>
      </c>
      <c r="AM176" s="9">
        <v>8.36</v>
      </c>
      <c r="AN176" s="15">
        <v>0.6</v>
      </c>
      <c r="AO176" s="9">
        <f t="shared" si="41"/>
        <v>0.7</v>
      </c>
      <c r="AP176" s="9">
        <v>5.95</v>
      </c>
      <c r="AQ176" s="9">
        <f t="shared" si="45"/>
        <v>0.2</v>
      </c>
      <c r="AR176" s="9">
        <v>3</v>
      </c>
      <c r="AS176" s="9">
        <v>0.55000000000000004</v>
      </c>
      <c r="AT176" s="9">
        <v>0.37</v>
      </c>
      <c r="AU176" s="9">
        <v>28</v>
      </c>
      <c r="AV176" s="15">
        <v>0.3</v>
      </c>
      <c r="AW176" s="9">
        <v>65</v>
      </c>
      <c r="AX176" s="9">
        <v>0.7</v>
      </c>
      <c r="AY176" s="9">
        <v>0</v>
      </c>
      <c r="AZ176" s="9">
        <v>0</v>
      </c>
      <c r="BA176" s="9">
        <v>0</v>
      </c>
      <c r="BB176" s="9">
        <v>0</v>
      </c>
      <c r="BC176" s="9">
        <v>35</v>
      </c>
      <c r="BD176" s="9">
        <v>36</v>
      </c>
      <c r="BE176" s="9">
        <v>7.5</v>
      </c>
      <c r="BF176" s="9">
        <f t="shared" si="8"/>
        <v>0.4</v>
      </c>
      <c r="BG176" s="9">
        <f t="shared" si="32"/>
        <v>1</v>
      </c>
      <c r="BH176" s="9">
        <v>6</v>
      </c>
      <c r="BI176" s="9">
        <f t="shared" si="10"/>
        <v>0</v>
      </c>
      <c r="BJ176" s="9">
        <v>6</v>
      </c>
      <c r="BK176" s="9">
        <v>0.86</v>
      </c>
      <c r="BL176" s="15">
        <v>7</v>
      </c>
      <c r="BM176" s="14">
        <v>0.33</v>
      </c>
      <c r="BN176" s="8">
        <v>0.9</v>
      </c>
      <c r="BO176" s="14">
        <v>0</v>
      </c>
      <c r="BP176" s="14">
        <v>0</v>
      </c>
      <c r="BQ176" s="14">
        <v>0</v>
      </c>
      <c r="BR176" s="15">
        <v>0.62</v>
      </c>
      <c r="BS176" s="15">
        <f t="shared" si="29"/>
        <v>0.62053999999999998</v>
      </c>
      <c r="BT176" s="14">
        <v>0</v>
      </c>
      <c r="BU176" s="14">
        <v>0</v>
      </c>
      <c r="BV176" s="15">
        <v>308.77999999999997</v>
      </c>
      <c r="BW176" s="15">
        <v>0.34</v>
      </c>
      <c r="BX176" s="15">
        <f t="shared" si="13"/>
        <v>0</v>
      </c>
      <c r="BY176" s="14">
        <f t="shared" si="14"/>
        <v>0</v>
      </c>
      <c r="BZ176" s="14">
        <f t="shared" si="15"/>
        <v>14.5</v>
      </c>
      <c r="CA176" s="14">
        <f t="shared" si="16"/>
        <v>0</v>
      </c>
      <c r="CB176" s="14">
        <f t="shared" si="17"/>
        <v>14.5</v>
      </c>
      <c r="CC176" s="15">
        <f t="shared" si="18"/>
        <v>0.88600000000000001</v>
      </c>
      <c r="CD176" s="14">
        <f t="shared" si="19"/>
        <v>12.85</v>
      </c>
      <c r="CE176" s="14">
        <f t="shared" si="20"/>
        <v>0.97</v>
      </c>
      <c r="CF176" s="14">
        <f t="shared" si="21"/>
        <v>12.46</v>
      </c>
      <c r="CG176" s="14">
        <f t="shared" si="22"/>
        <v>176</v>
      </c>
    </row>
    <row r="177" spans="1:85" ht="13.2" x14ac:dyDescent="0.25">
      <c r="A177" s="8">
        <v>1120225</v>
      </c>
      <c r="B177" s="9" t="s">
        <v>281</v>
      </c>
      <c r="C177" s="9" t="s">
        <v>260</v>
      </c>
      <c r="D177" s="9">
        <v>0</v>
      </c>
      <c r="E177" s="9">
        <v>0</v>
      </c>
      <c r="F177" s="12">
        <v>1</v>
      </c>
      <c r="G177" s="9">
        <v>0</v>
      </c>
      <c r="H177" s="9">
        <v>11</v>
      </c>
      <c r="I177" s="9">
        <v>9</v>
      </c>
      <c r="J177" s="11">
        <f t="shared" si="44"/>
        <v>0</v>
      </c>
      <c r="K177" s="9">
        <v>13</v>
      </c>
      <c r="L177" s="9">
        <v>1.6</v>
      </c>
      <c r="M177" s="9">
        <v>0.1</v>
      </c>
      <c r="N177" s="9" t="s">
        <v>263</v>
      </c>
      <c r="O177" s="9">
        <v>4</v>
      </c>
      <c r="P177" s="9" t="s">
        <v>143</v>
      </c>
      <c r="Q177" s="9">
        <v>1</v>
      </c>
      <c r="R177" s="9">
        <v>25</v>
      </c>
      <c r="S177" s="9">
        <v>42</v>
      </c>
      <c r="T177" s="9">
        <v>27.46</v>
      </c>
      <c r="U177" s="10">
        <f t="shared" si="1"/>
        <v>0.5</v>
      </c>
      <c r="V177" s="9">
        <v>72.22</v>
      </c>
      <c r="W177" s="10">
        <f t="shared" si="43"/>
        <v>0.3</v>
      </c>
      <c r="X177" s="9">
        <v>10</v>
      </c>
      <c r="Y177" s="9">
        <v>10</v>
      </c>
      <c r="Z177" s="9">
        <v>0</v>
      </c>
      <c r="AA177" s="9">
        <v>0</v>
      </c>
      <c r="AB177" s="9">
        <v>10</v>
      </c>
      <c r="AC177" s="9">
        <f t="shared" si="48"/>
        <v>3</v>
      </c>
      <c r="AD177" s="9">
        <v>2</v>
      </c>
      <c r="AE177" s="9">
        <v>0.5</v>
      </c>
      <c r="AF177" s="9">
        <v>1.2500000000000001E-2</v>
      </c>
      <c r="AG177" s="9">
        <v>2.5</v>
      </c>
      <c r="AH177" s="9">
        <v>1.2999999999999999E-2</v>
      </c>
      <c r="AI177" s="13">
        <v>20</v>
      </c>
      <c r="AJ177" s="9">
        <f t="shared" si="4"/>
        <v>0.2</v>
      </c>
      <c r="AK177" s="9">
        <v>24</v>
      </c>
      <c r="AL177" s="9">
        <v>4</v>
      </c>
      <c r="AM177" s="9">
        <v>8.0399999999999991</v>
      </c>
      <c r="AN177" s="15">
        <v>0.7</v>
      </c>
      <c r="AO177" s="9">
        <f t="shared" si="41"/>
        <v>0.7</v>
      </c>
      <c r="AP177" s="9">
        <v>6.4</v>
      </c>
      <c r="AQ177" s="9">
        <f t="shared" si="45"/>
        <v>0.3</v>
      </c>
      <c r="AR177" s="9">
        <v>3.5</v>
      </c>
      <c r="AS177" s="9">
        <v>0.6</v>
      </c>
      <c r="AT177" s="9">
        <v>0.4</v>
      </c>
      <c r="AU177" s="9">
        <v>22</v>
      </c>
      <c r="AV177" s="15">
        <v>0.2</v>
      </c>
      <c r="AW177" s="9">
        <v>5</v>
      </c>
      <c r="AX177" s="9">
        <v>0.1</v>
      </c>
      <c r="AY177" s="9">
        <v>0</v>
      </c>
      <c r="AZ177" s="9">
        <v>0</v>
      </c>
      <c r="BA177" s="9">
        <v>0</v>
      </c>
      <c r="BB177" s="9">
        <v>0</v>
      </c>
      <c r="BC177" s="9">
        <v>95</v>
      </c>
      <c r="BD177" s="9">
        <v>32</v>
      </c>
      <c r="BE177" s="9">
        <v>7</v>
      </c>
      <c r="BF177" s="9">
        <f t="shared" si="8"/>
        <v>0.3</v>
      </c>
      <c r="BG177" s="9">
        <f t="shared" si="32"/>
        <v>2</v>
      </c>
      <c r="BH177" s="9">
        <v>6</v>
      </c>
      <c r="BI177" s="9">
        <f t="shared" si="10"/>
        <v>0</v>
      </c>
      <c r="BJ177" s="9">
        <v>8</v>
      </c>
      <c r="BK177" s="9">
        <v>0.71</v>
      </c>
      <c r="BL177" s="15">
        <v>7</v>
      </c>
      <c r="BM177" s="14">
        <v>0.33</v>
      </c>
      <c r="BN177" s="8">
        <v>0.6</v>
      </c>
      <c r="BO177" s="14">
        <v>0</v>
      </c>
      <c r="BP177" s="14">
        <v>0</v>
      </c>
      <c r="BQ177" s="14">
        <v>0</v>
      </c>
      <c r="BR177" s="15">
        <v>0.73</v>
      </c>
      <c r="BS177" s="15">
        <f t="shared" si="29"/>
        <v>0.21681000000000006</v>
      </c>
      <c r="BT177" s="14">
        <v>0</v>
      </c>
      <c r="BU177" s="14">
        <v>0</v>
      </c>
      <c r="BV177" s="15">
        <v>776.55</v>
      </c>
      <c r="BW177" s="15">
        <v>0.84499999999999997</v>
      </c>
      <c r="BX177" s="15">
        <f t="shared" si="13"/>
        <v>0</v>
      </c>
      <c r="BY177" s="14">
        <f t="shared" si="14"/>
        <v>0</v>
      </c>
      <c r="BZ177" s="14">
        <f t="shared" si="15"/>
        <v>4.25</v>
      </c>
      <c r="CA177" s="14">
        <f t="shared" si="16"/>
        <v>0</v>
      </c>
      <c r="CB177" s="14">
        <f t="shared" si="17"/>
        <v>4.25</v>
      </c>
      <c r="CC177" s="15">
        <f t="shared" si="18"/>
        <v>0.86799999999999999</v>
      </c>
      <c r="CD177" s="14">
        <f t="shared" si="19"/>
        <v>3.69</v>
      </c>
      <c r="CE177" s="14">
        <f t="shared" si="20"/>
        <v>0.95499999999999996</v>
      </c>
      <c r="CF177" s="14">
        <f t="shared" si="21"/>
        <v>3.52</v>
      </c>
      <c r="CG177" s="14">
        <f t="shared" si="22"/>
        <v>183</v>
      </c>
    </row>
    <row r="178" spans="1:85" ht="13.2" x14ac:dyDescent="0.25">
      <c r="A178" s="8">
        <v>474844</v>
      </c>
      <c r="B178" s="9" t="s">
        <v>282</v>
      </c>
      <c r="C178" s="9" t="s">
        <v>283</v>
      </c>
      <c r="D178" s="9">
        <v>0</v>
      </c>
      <c r="E178" s="9">
        <v>0</v>
      </c>
      <c r="F178" s="9">
        <v>0</v>
      </c>
      <c r="G178" s="9">
        <v>1</v>
      </c>
      <c r="H178" s="9">
        <v>9</v>
      </c>
      <c r="I178" s="9">
        <v>14</v>
      </c>
      <c r="J178" s="11">
        <f t="shared" si="44"/>
        <v>0.4</v>
      </c>
      <c r="K178" s="9">
        <v>520</v>
      </c>
      <c r="L178" s="9">
        <v>1.9</v>
      </c>
      <c r="M178" s="9">
        <v>0</v>
      </c>
      <c r="N178" s="9" t="s">
        <v>284</v>
      </c>
      <c r="O178" s="9">
        <v>4</v>
      </c>
      <c r="P178" s="12" t="s">
        <v>88</v>
      </c>
      <c r="Q178" s="12">
        <v>0</v>
      </c>
      <c r="R178" s="12">
        <v>32</v>
      </c>
      <c r="S178" s="9">
        <v>82</v>
      </c>
      <c r="T178" s="9">
        <v>37.1</v>
      </c>
      <c r="U178" s="10">
        <f t="shared" si="1"/>
        <v>0.7</v>
      </c>
      <c r="V178" s="9">
        <v>136.1</v>
      </c>
      <c r="W178" s="10">
        <f t="shared" si="43"/>
        <v>0.6</v>
      </c>
      <c r="X178" s="9">
        <v>45</v>
      </c>
      <c r="Y178" s="9">
        <v>19</v>
      </c>
      <c r="Z178" s="9">
        <v>0</v>
      </c>
      <c r="AA178" s="9">
        <v>4</v>
      </c>
      <c r="AB178" s="9">
        <v>14</v>
      </c>
      <c r="AC178" s="9">
        <f t="shared" si="48"/>
        <v>3</v>
      </c>
      <c r="AD178" s="9">
        <v>2</v>
      </c>
      <c r="AE178" s="9">
        <v>0</v>
      </c>
      <c r="AF178" s="9">
        <v>0</v>
      </c>
      <c r="AG178" s="9">
        <v>0</v>
      </c>
      <c r="AH178" s="9">
        <v>0</v>
      </c>
      <c r="AI178" s="13">
        <v>8.5</v>
      </c>
      <c r="AJ178" s="9">
        <f t="shared" si="4"/>
        <v>0.1</v>
      </c>
      <c r="AK178" s="9">
        <v>2</v>
      </c>
      <c r="AL178" s="9">
        <v>0</v>
      </c>
      <c r="AM178" s="9">
        <v>0</v>
      </c>
      <c r="AN178" s="9">
        <v>0</v>
      </c>
      <c r="AO178" s="9">
        <f t="shared" si="41"/>
        <v>0</v>
      </c>
      <c r="AP178" s="9">
        <v>0</v>
      </c>
      <c r="AQ178" s="9">
        <f t="shared" si="45"/>
        <v>0.2</v>
      </c>
      <c r="AR178" s="9">
        <v>3</v>
      </c>
      <c r="AS178" s="12">
        <v>0</v>
      </c>
      <c r="AT178" s="12">
        <v>0</v>
      </c>
      <c r="AU178" s="12">
        <v>0</v>
      </c>
      <c r="AV178" s="12">
        <v>0</v>
      </c>
      <c r="AW178" s="9">
        <v>0</v>
      </c>
      <c r="AX178" s="9">
        <v>0</v>
      </c>
      <c r="AY178" s="9">
        <v>16</v>
      </c>
      <c r="AZ178" s="9">
        <v>1</v>
      </c>
      <c r="BA178" s="9">
        <v>13</v>
      </c>
      <c r="BB178" s="9">
        <v>0.28889999999999999</v>
      </c>
      <c r="BC178" s="9">
        <v>0</v>
      </c>
      <c r="BD178" s="9">
        <v>0</v>
      </c>
      <c r="BE178" s="9">
        <v>7.5</v>
      </c>
      <c r="BF178" s="9">
        <f t="shared" si="8"/>
        <v>0.4</v>
      </c>
      <c r="BG178" s="9">
        <f t="shared" si="32"/>
        <v>1</v>
      </c>
      <c r="BH178" s="9">
        <v>6</v>
      </c>
      <c r="BI178" s="9">
        <f t="shared" si="10"/>
        <v>0</v>
      </c>
      <c r="BJ178" s="9">
        <v>7</v>
      </c>
      <c r="BK178" s="9">
        <v>0.56999999999999995</v>
      </c>
      <c r="BL178" s="15">
        <v>7</v>
      </c>
      <c r="BM178" s="14">
        <v>0.33</v>
      </c>
      <c r="BN178" s="8">
        <v>0</v>
      </c>
      <c r="BO178" s="14">
        <f>ROUND((L3*0.35 + U3*0.15 + W3*0.1 + AZ3*0.2 + BB3*0.1 + AJ3*0.05 + BF3*0.05),1)</f>
        <v>0.5</v>
      </c>
      <c r="BP178" s="14">
        <v>0</v>
      </c>
      <c r="BQ178" s="14">
        <v>0</v>
      </c>
      <c r="BR178" s="15">
        <v>0</v>
      </c>
      <c r="BS178" s="15">
        <f t="shared" si="29"/>
        <v>0.89900000000000002</v>
      </c>
      <c r="BT178" s="14">
        <v>0</v>
      </c>
      <c r="BU178" s="14">
        <v>0</v>
      </c>
      <c r="BV178" s="15">
        <v>172</v>
      </c>
      <c r="BW178" s="15">
        <v>0.191</v>
      </c>
      <c r="BX178" s="15">
        <f t="shared" si="13"/>
        <v>0</v>
      </c>
      <c r="BY178" s="14">
        <f t="shared" si="14"/>
        <v>0</v>
      </c>
      <c r="BZ178" s="14">
        <f t="shared" si="15"/>
        <v>0</v>
      </c>
      <c r="CA178" s="14">
        <f t="shared" si="16"/>
        <v>60.834000000000003</v>
      </c>
      <c r="CB178" s="14">
        <f t="shared" si="17"/>
        <v>60.834000000000003</v>
      </c>
      <c r="CC178" s="15">
        <f t="shared" si="18"/>
        <v>0.79</v>
      </c>
      <c r="CD178" s="14">
        <f t="shared" si="19"/>
        <v>48.06</v>
      </c>
      <c r="CE178" s="14">
        <f t="shared" si="20"/>
        <v>0.98</v>
      </c>
      <c r="CF178" s="14">
        <f t="shared" si="21"/>
        <v>47.1</v>
      </c>
      <c r="CG178" s="14">
        <f t="shared" si="22"/>
        <v>34</v>
      </c>
    </row>
    <row r="179" spans="1:85" ht="13.2" x14ac:dyDescent="0.25">
      <c r="A179" s="8">
        <v>1126199</v>
      </c>
      <c r="B179" s="9" t="s">
        <v>285</v>
      </c>
      <c r="C179" s="9" t="s">
        <v>283</v>
      </c>
      <c r="D179" s="9">
        <v>0</v>
      </c>
      <c r="E179" s="9">
        <v>0</v>
      </c>
      <c r="F179" s="9">
        <v>0</v>
      </c>
      <c r="G179" s="9">
        <v>1</v>
      </c>
      <c r="H179" s="9">
        <v>12</v>
      </c>
      <c r="I179" s="9">
        <v>14</v>
      </c>
      <c r="J179" s="11">
        <f t="shared" si="44"/>
        <v>0.4</v>
      </c>
      <c r="K179" s="9">
        <v>549</v>
      </c>
      <c r="L179" s="9">
        <v>0</v>
      </c>
      <c r="M179" s="9">
        <v>0</v>
      </c>
      <c r="N179" s="9" t="s">
        <v>284</v>
      </c>
      <c r="O179" s="9">
        <v>4</v>
      </c>
      <c r="P179" s="12" t="s">
        <v>88</v>
      </c>
      <c r="Q179" s="12">
        <v>0</v>
      </c>
      <c r="R179" s="12">
        <v>24</v>
      </c>
      <c r="S179" s="9">
        <v>71</v>
      </c>
      <c r="T179" s="9">
        <v>32.299999999999997</v>
      </c>
      <c r="U179" s="10">
        <f t="shared" si="1"/>
        <v>0.6</v>
      </c>
      <c r="V179" s="9">
        <v>160.5</v>
      </c>
      <c r="W179" s="10">
        <f t="shared" si="43"/>
        <v>0.7</v>
      </c>
      <c r="X179" s="9">
        <v>28</v>
      </c>
      <c r="Y179" s="9">
        <v>15</v>
      </c>
      <c r="Z179" s="9">
        <v>0</v>
      </c>
      <c r="AA179" s="9">
        <v>2</v>
      </c>
      <c r="AB179" s="9">
        <v>0</v>
      </c>
      <c r="AC179" s="9">
        <f t="shared" si="48"/>
        <v>2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13">
        <v>6.7</v>
      </c>
      <c r="AJ179" s="9">
        <f t="shared" si="4"/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f t="shared" si="41"/>
        <v>0</v>
      </c>
      <c r="AP179" s="9">
        <v>0</v>
      </c>
      <c r="AQ179" s="9">
        <f t="shared" si="45"/>
        <v>0.7</v>
      </c>
      <c r="AR179" s="9">
        <v>6</v>
      </c>
      <c r="AS179" s="12">
        <v>0</v>
      </c>
      <c r="AT179" s="12">
        <v>0</v>
      </c>
      <c r="AU179" s="12">
        <v>0</v>
      </c>
      <c r="AV179" s="12">
        <v>0</v>
      </c>
      <c r="AW179" s="9">
        <v>0</v>
      </c>
      <c r="AX179" s="9">
        <v>0</v>
      </c>
      <c r="AY179" s="9">
        <v>6</v>
      </c>
      <c r="AZ179" s="9">
        <v>0.375</v>
      </c>
      <c r="BA179" s="9">
        <v>0</v>
      </c>
      <c r="BB179" s="9">
        <v>0</v>
      </c>
      <c r="BC179" s="9">
        <v>0</v>
      </c>
      <c r="BD179" s="9">
        <v>0</v>
      </c>
      <c r="BE179" s="9">
        <v>7.5</v>
      </c>
      <c r="BF179" s="9">
        <f t="shared" si="8"/>
        <v>0.4</v>
      </c>
      <c r="BG179" s="9">
        <f t="shared" si="32"/>
        <v>1</v>
      </c>
      <c r="BH179" s="9">
        <v>6</v>
      </c>
      <c r="BI179" s="9">
        <f t="shared" si="10"/>
        <v>0</v>
      </c>
      <c r="BJ179" s="9">
        <v>7</v>
      </c>
      <c r="BK179" s="9">
        <v>0.56999999999999995</v>
      </c>
      <c r="BL179" s="15">
        <v>7</v>
      </c>
      <c r="BM179" s="14">
        <v>0.33</v>
      </c>
      <c r="BN179" s="8">
        <v>0</v>
      </c>
      <c r="BO179" s="14">
        <f>ROUND((L11*0.35 + U11*0.15 + W11*0.1 + AZ11*0.2 + BB11*0.1 + AJ11*0.05 + BF11*0.05),1)</f>
        <v>0.4</v>
      </c>
      <c r="BP179" s="14">
        <v>0</v>
      </c>
      <c r="BQ179" s="14">
        <v>0</v>
      </c>
      <c r="BR179" s="15">
        <v>0</v>
      </c>
      <c r="BS179" s="15">
        <f t="shared" si="29"/>
        <v>3.2000000000000001E-2</v>
      </c>
      <c r="BT179" s="14">
        <v>0</v>
      </c>
      <c r="BU179" s="14">
        <v>0</v>
      </c>
      <c r="BV179" s="15">
        <v>45.75</v>
      </c>
      <c r="BW179" s="15">
        <v>5.5E-2</v>
      </c>
      <c r="BX179" s="15">
        <f t="shared" si="13"/>
        <v>0</v>
      </c>
      <c r="BY179" s="14">
        <f t="shared" si="14"/>
        <v>0</v>
      </c>
      <c r="BZ179" s="14">
        <f t="shared" si="15"/>
        <v>0</v>
      </c>
      <c r="CA179" s="14">
        <f t="shared" si="16"/>
        <v>33.25</v>
      </c>
      <c r="CB179" s="14">
        <f t="shared" si="17"/>
        <v>33.25</v>
      </c>
      <c r="CC179" s="15">
        <f t="shared" si="18"/>
        <v>0.70299999999999996</v>
      </c>
      <c r="CD179" s="14">
        <f t="shared" si="19"/>
        <v>23.37</v>
      </c>
      <c r="CE179" s="14">
        <f t="shared" si="20"/>
        <v>0.93</v>
      </c>
      <c r="CF179" s="14">
        <f t="shared" si="21"/>
        <v>21.73</v>
      </c>
      <c r="CG179" s="14">
        <f t="shared" si="22"/>
        <v>146</v>
      </c>
    </row>
    <row r="180" spans="1:85" ht="13.2" x14ac:dyDescent="0.25">
      <c r="A180" s="8">
        <v>1126058</v>
      </c>
      <c r="B180" s="9" t="s">
        <v>163</v>
      </c>
      <c r="C180" s="9" t="s">
        <v>283</v>
      </c>
      <c r="D180" s="9">
        <v>0</v>
      </c>
      <c r="E180" s="9">
        <v>0</v>
      </c>
      <c r="F180" s="9">
        <f t="shared" ref="F180:F185" si="49">IF(TRIM(C179)="All-rounder",1,0)</f>
        <v>0</v>
      </c>
      <c r="G180" s="9">
        <v>1</v>
      </c>
      <c r="H180" s="9">
        <v>15</v>
      </c>
      <c r="I180" s="9">
        <v>8</v>
      </c>
      <c r="J180" s="11">
        <f t="shared" si="44"/>
        <v>0</v>
      </c>
      <c r="K180" s="9">
        <v>0</v>
      </c>
      <c r="L180" s="9">
        <v>0</v>
      </c>
      <c r="M180" s="9">
        <v>0</v>
      </c>
      <c r="N180" s="9" t="s">
        <v>90</v>
      </c>
      <c r="O180" s="9">
        <v>2</v>
      </c>
      <c r="P180" s="12" t="s">
        <v>88</v>
      </c>
      <c r="Q180" s="12">
        <v>0</v>
      </c>
      <c r="R180" s="12">
        <v>25</v>
      </c>
      <c r="S180" s="9">
        <v>48</v>
      </c>
      <c r="T180" s="9">
        <v>0</v>
      </c>
      <c r="U180" s="10">
        <f t="shared" si="1"/>
        <v>0</v>
      </c>
      <c r="V180" s="9">
        <v>0</v>
      </c>
      <c r="W180" s="10">
        <v>0</v>
      </c>
      <c r="X180" s="9">
        <v>16</v>
      </c>
      <c r="Y180" s="9">
        <v>9</v>
      </c>
      <c r="Z180" s="9">
        <v>0</v>
      </c>
      <c r="AA180" s="9">
        <v>1</v>
      </c>
      <c r="AB180" s="9">
        <v>0.3</v>
      </c>
      <c r="AC180" s="9">
        <f t="shared" si="48"/>
        <v>2</v>
      </c>
      <c r="AD180" s="9">
        <v>0.3</v>
      </c>
      <c r="AE180" s="9">
        <v>0</v>
      </c>
      <c r="AF180" s="9">
        <v>0</v>
      </c>
      <c r="AG180" s="9">
        <v>0</v>
      </c>
      <c r="AH180" s="9">
        <v>0</v>
      </c>
      <c r="AI180" s="13">
        <v>7.2</v>
      </c>
      <c r="AJ180" s="9">
        <f t="shared" si="4"/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f t="shared" si="41"/>
        <v>0</v>
      </c>
      <c r="AP180" s="9">
        <v>0</v>
      </c>
      <c r="AQ180" s="9">
        <f t="shared" si="45"/>
        <v>0.7</v>
      </c>
      <c r="AR180" s="9">
        <v>6</v>
      </c>
      <c r="AS180" s="12">
        <v>0</v>
      </c>
      <c r="AT180" s="12">
        <v>0</v>
      </c>
      <c r="AU180" s="12">
        <v>0</v>
      </c>
      <c r="AV180" s="12">
        <v>0</v>
      </c>
      <c r="AW180" s="9">
        <v>0</v>
      </c>
      <c r="AX180" s="9">
        <v>0</v>
      </c>
      <c r="AY180" s="9">
        <v>4</v>
      </c>
      <c r="AZ180" s="9">
        <v>0.25</v>
      </c>
      <c r="BA180" s="9">
        <v>0</v>
      </c>
      <c r="BB180" s="9">
        <v>0</v>
      </c>
      <c r="BC180" s="9">
        <v>0</v>
      </c>
      <c r="BD180" s="9">
        <v>0</v>
      </c>
      <c r="BE180" s="9">
        <v>7.5</v>
      </c>
      <c r="BF180" s="9">
        <f t="shared" si="8"/>
        <v>0.4</v>
      </c>
      <c r="BG180" s="9">
        <f t="shared" si="32"/>
        <v>2</v>
      </c>
      <c r="BH180" s="9">
        <v>6</v>
      </c>
      <c r="BI180" s="9">
        <f t="shared" si="10"/>
        <v>0</v>
      </c>
      <c r="BJ180" s="9">
        <v>6</v>
      </c>
      <c r="BK180" s="9">
        <v>1</v>
      </c>
      <c r="BL180" s="15">
        <v>7</v>
      </c>
      <c r="BM180" s="14">
        <v>0.33</v>
      </c>
      <c r="BN180" s="8">
        <v>0</v>
      </c>
      <c r="BO180" s="14">
        <f t="shared" ref="BO180:BO185" si="50">ROUND((L13*0.35 + U13*0.15 + W13*0.1 + AZ13*0.2 + BB13*0.1 + AJ13*0.05 + BF13*0.05),1)</f>
        <v>0.4</v>
      </c>
      <c r="BP180" s="14">
        <v>0</v>
      </c>
      <c r="BQ180" s="14">
        <v>0</v>
      </c>
      <c r="BR180" s="15">
        <v>0</v>
      </c>
      <c r="BS180" s="15">
        <f t="shared" si="29"/>
        <v>3.2000000000000001E-2</v>
      </c>
      <c r="BT180" s="14">
        <v>0</v>
      </c>
      <c r="BU180" s="14">
        <v>0</v>
      </c>
      <c r="BV180" s="15">
        <v>20.5</v>
      </c>
      <c r="BW180" s="15">
        <v>2.7E-2</v>
      </c>
      <c r="BX180" s="15">
        <f t="shared" si="13"/>
        <v>0</v>
      </c>
      <c r="BY180" s="14">
        <f t="shared" si="14"/>
        <v>0</v>
      </c>
      <c r="BZ180" s="14">
        <f t="shared" si="15"/>
        <v>0</v>
      </c>
      <c r="CA180" s="14">
        <f t="shared" si="16"/>
        <v>29.5</v>
      </c>
      <c r="CB180" s="14">
        <f t="shared" si="17"/>
        <v>29.5</v>
      </c>
      <c r="CC180" s="15">
        <f t="shared" si="18"/>
        <v>0.70299999999999996</v>
      </c>
      <c r="CD180" s="14">
        <f t="shared" si="19"/>
        <v>20.74</v>
      </c>
      <c r="CE180" s="14">
        <f t="shared" si="20"/>
        <v>0.93</v>
      </c>
      <c r="CF180" s="14">
        <f t="shared" si="21"/>
        <v>19.29</v>
      </c>
      <c r="CG180" s="14">
        <f t="shared" si="22"/>
        <v>160</v>
      </c>
    </row>
    <row r="181" spans="1:85" ht="13.2" x14ac:dyDescent="0.25">
      <c r="A181" s="8">
        <v>341061</v>
      </c>
      <c r="B181" s="9" t="s">
        <v>286</v>
      </c>
      <c r="C181" s="9" t="s">
        <v>283</v>
      </c>
      <c r="D181" s="9">
        <v>0</v>
      </c>
      <c r="E181" s="9">
        <v>0</v>
      </c>
      <c r="F181" s="9">
        <f t="shared" si="49"/>
        <v>0</v>
      </c>
      <c r="G181" s="9">
        <v>1</v>
      </c>
      <c r="H181" s="9">
        <v>15</v>
      </c>
      <c r="I181" s="9">
        <v>5</v>
      </c>
      <c r="J181" s="11">
        <f t="shared" si="44"/>
        <v>0</v>
      </c>
      <c r="K181" s="9">
        <v>0</v>
      </c>
      <c r="L181" s="9">
        <v>4</v>
      </c>
      <c r="M181" s="9">
        <v>0</v>
      </c>
      <c r="N181" s="9" t="s">
        <v>90</v>
      </c>
      <c r="O181" s="9">
        <v>2</v>
      </c>
      <c r="P181" s="12" t="s">
        <v>88</v>
      </c>
      <c r="Q181" s="12">
        <v>0</v>
      </c>
      <c r="R181" s="12">
        <v>31</v>
      </c>
      <c r="S181" s="9">
        <v>36</v>
      </c>
      <c r="T181" s="9">
        <v>0</v>
      </c>
      <c r="U181" s="10">
        <f t="shared" si="1"/>
        <v>0</v>
      </c>
      <c r="V181" s="9">
        <v>0</v>
      </c>
      <c r="W181" s="10">
        <v>0</v>
      </c>
      <c r="X181" s="9">
        <v>12</v>
      </c>
      <c r="Y181" s="9">
        <v>6</v>
      </c>
      <c r="Z181" s="9">
        <v>0</v>
      </c>
      <c r="AA181" s="9">
        <v>0</v>
      </c>
      <c r="AB181" s="9">
        <v>0</v>
      </c>
      <c r="AC181" s="9">
        <f t="shared" si="48"/>
        <v>1</v>
      </c>
      <c r="AD181" s="9">
        <v>0.75</v>
      </c>
      <c r="AE181" s="9">
        <v>0</v>
      </c>
      <c r="AF181" s="9">
        <v>0</v>
      </c>
      <c r="AG181" s="9">
        <v>0</v>
      </c>
      <c r="AH181" s="9">
        <v>0</v>
      </c>
      <c r="AI181" s="13">
        <v>6.8</v>
      </c>
      <c r="AJ181" s="9">
        <f t="shared" si="4"/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f t="shared" si="41"/>
        <v>0</v>
      </c>
      <c r="AP181" s="9">
        <v>0</v>
      </c>
      <c r="AQ181" s="9">
        <f t="shared" si="45"/>
        <v>0.2</v>
      </c>
      <c r="AR181" s="9">
        <v>3</v>
      </c>
      <c r="AS181" s="12">
        <v>0</v>
      </c>
      <c r="AT181" s="12">
        <v>0</v>
      </c>
      <c r="AU181" s="12">
        <v>0</v>
      </c>
      <c r="AV181" s="12">
        <v>0</v>
      </c>
      <c r="AW181" s="9">
        <v>0</v>
      </c>
      <c r="AX181" s="9">
        <v>0</v>
      </c>
      <c r="AY181" s="9">
        <v>3</v>
      </c>
      <c r="AZ181" s="9">
        <v>0.1875</v>
      </c>
      <c r="BA181" s="9">
        <v>0</v>
      </c>
      <c r="BB181" s="9">
        <v>0</v>
      </c>
      <c r="BC181" s="9">
        <v>0</v>
      </c>
      <c r="BD181" s="9">
        <v>0</v>
      </c>
      <c r="BE181" s="9">
        <v>7</v>
      </c>
      <c r="BF181" s="9">
        <f t="shared" si="8"/>
        <v>0.3</v>
      </c>
      <c r="BG181" s="9">
        <f t="shared" si="32"/>
        <v>2</v>
      </c>
      <c r="BH181" s="9">
        <v>6</v>
      </c>
      <c r="BI181" s="9">
        <f t="shared" si="10"/>
        <v>0</v>
      </c>
      <c r="BJ181" s="9">
        <v>9</v>
      </c>
      <c r="BK181" s="9">
        <v>0.43</v>
      </c>
      <c r="BL181" s="15">
        <v>7</v>
      </c>
      <c r="BM181" s="14">
        <v>0.33</v>
      </c>
      <c r="BN181" s="8">
        <v>0</v>
      </c>
      <c r="BO181" s="14">
        <f t="shared" si="50"/>
        <v>0.4</v>
      </c>
      <c r="BP181" s="14">
        <v>0</v>
      </c>
      <c r="BQ181" s="14">
        <v>0</v>
      </c>
      <c r="BR181" s="15">
        <v>0</v>
      </c>
      <c r="BS181" s="15">
        <f t="shared" si="29"/>
        <v>1.8240000000000001</v>
      </c>
      <c r="BT181" s="14">
        <v>0</v>
      </c>
      <c r="BU181" s="14">
        <v>0</v>
      </c>
      <c r="BV181" s="15">
        <v>7.87</v>
      </c>
      <c r="BW181" s="15">
        <v>1.4E-2</v>
      </c>
      <c r="BX181" s="15">
        <f t="shared" si="13"/>
        <v>0</v>
      </c>
      <c r="BY181" s="14">
        <f t="shared" si="14"/>
        <v>0</v>
      </c>
      <c r="BZ181" s="14">
        <f t="shared" si="15"/>
        <v>0</v>
      </c>
      <c r="CA181" s="14">
        <f t="shared" si="16"/>
        <v>26.625</v>
      </c>
      <c r="CB181" s="14">
        <f t="shared" si="17"/>
        <v>26.625</v>
      </c>
      <c r="CC181" s="15">
        <f t="shared" si="18"/>
        <v>0.88200000000000001</v>
      </c>
      <c r="CD181" s="14">
        <f t="shared" si="19"/>
        <v>23.48</v>
      </c>
      <c r="CE181" s="14">
        <f t="shared" si="20"/>
        <v>0.98</v>
      </c>
      <c r="CF181" s="14">
        <f t="shared" si="21"/>
        <v>23.01</v>
      </c>
      <c r="CG181" s="14">
        <f t="shared" si="22"/>
        <v>139</v>
      </c>
    </row>
    <row r="182" spans="1:85" ht="13.2" x14ac:dyDescent="0.25">
      <c r="A182" s="8">
        <v>1070209</v>
      </c>
      <c r="B182" s="9" t="s">
        <v>170</v>
      </c>
      <c r="C182" s="9" t="s">
        <v>283</v>
      </c>
      <c r="D182" s="9">
        <v>0</v>
      </c>
      <c r="E182" s="9">
        <v>0</v>
      </c>
      <c r="F182" s="9">
        <f t="shared" si="49"/>
        <v>0</v>
      </c>
      <c r="G182" s="9">
        <v>1</v>
      </c>
      <c r="H182" s="9">
        <v>14</v>
      </c>
      <c r="I182" s="9">
        <v>3</v>
      </c>
      <c r="J182" s="11">
        <f t="shared" si="44"/>
        <v>0</v>
      </c>
      <c r="K182" s="9">
        <v>0</v>
      </c>
      <c r="L182" s="9">
        <v>2.8</v>
      </c>
      <c r="M182" s="9">
        <v>0</v>
      </c>
      <c r="N182" s="9" t="s">
        <v>284</v>
      </c>
      <c r="O182" s="9">
        <v>2</v>
      </c>
      <c r="P182" s="12" t="s">
        <v>143</v>
      </c>
      <c r="Q182" s="12">
        <v>1</v>
      </c>
      <c r="R182" s="12">
        <v>22</v>
      </c>
      <c r="S182" s="9">
        <v>81</v>
      </c>
      <c r="T182" s="9">
        <v>0</v>
      </c>
      <c r="U182" s="10">
        <f t="shared" si="1"/>
        <v>0</v>
      </c>
      <c r="V182" s="9">
        <v>0</v>
      </c>
      <c r="W182" s="10">
        <v>0</v>
      </c>
      <c r="X182" s="9">
        <v>24</v>
      </c>
      <c r="Y182" s="9">
        <v>18</v>
      </c>
      <c r="Z182" s="9">
        <v>0</v>
      </c>
      <c r="AA182" s="9">
        <v>2</v>
      </c>
      <c r="AB182" s="9">
        <v>2</v>
      </c>
      <c r="AC182" s="9">
        <f t="shared" si="48"/>
        <v>2</v>
      </c>
      <c r="AD182" s="9">
        <v>2</v>
      </c>
      <c r="AE182" s="9">
        <v>0</v>
      </c>
      <c r="AF182" s="9">
        <v>0</v>
      </c>
      <c r="AG182" s="9">
        <v>0</v>
      </c>
      <c r="AH182" s="9">
        <v>0</v>
      </c>
      <c r="AI182" s="13">
        <v>6.5</v>
      </c>
      <c r="AJ182" s="9">
        <f t="shared" si="4"/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f t="shared" si="41"/>
        <v>0</v>
      </c>
      <c r="AP182" s="9">
        <v>0</v>
      </c>
      <c r="AQ182" s="9">
        <f t="shared" si="45"/>
        <v>0.7</v>
      </c>
      <c r="AR182" s="9">
        <v>6</v>
      </c>
      <c r="AS182" s="12">
        <v>0</v>
      </c>
      <c r="AT182" s="12">
        <v>0</v>
      </c>
      <c r="AU182" s="12">
        <v>0</v>
      </c>
      <c r="AV182" s="12">
        <v>0</v>
      </c>
      <c r="AW182" s="9">
        <v>0</v>
      </c>
      <c r="AX182" s="9">
        <v>0</v>
      </c>
      <c r="AY182" s="9">
        <v>2</v>
      </c>
      <c r="AZ182" s="9">
        <v>0.125</v>
      </c>
      <c r="BA182" s="9">
        <v>0</v>
      </c>
      <c r="BB182" s="9">
        <v>0</v>
      </c>
      <c r="BC182" s="9">
        <v>0</v>
      </c>
      <c r="BD182" s="9">
        <v>0</v>
      </c>
      <c r="BE182" s="9">
        <v>7.5</v>
      </c>
      <c r="BF182" s="9">
        <f t="shared" si="8"/>
        <v>0.4</v>
      </c>
      <c r="BG182" s="9">
        <f t="shared" si="32"/>
        <v>2</v>
      </c>
      <c r="BH182" s="9">
        <v>6</v>
      </c>
      <c r="BI182" s="9">
        <f t="shared" si="10"/>
        <v>0</v>
      </c>
      <c r="BJ182" s="9">
        <v>5</v>
      </c>
      <c r="BK182" s="9">
        <v>0.56999999999999995</v>
      </c>
      <c r="BL182" s="15">
        <v>7</v>
      </c>
      <c r="BM182" s="14">
        <v>0.33</v>
      </c>
      <c r="BN182" s="8">
        <v>0</v>
      </c>
      <c r="BO182" s="14">
        <f t="shared" si="50"/>
        <v>0.3</v>
      </c>
      <c r="BP182" s="14">
        <v>0</v>
      </c>
      <c r="BQ182" s="14">
        <v>0</v>
      </c>
      <c r="BR182" s="15">
        <v>0</v>
      </c>
      <c r="BS182" s="15">
        <f t="shared" si="29"/>
        <v>1.292</v>
      </c>
      <c r="BT182" s="14">
        <v>0</v>
      </c>
      <c r="BU182" s="14">
        <v>0</v>
      </c>
      <c r="BV182" s="15">
        <v>-4.75</v>
      </c>
      <c r="BW182" s="15">
        <v>0</v>
      </c>
      <c r="BX182" s="15">
        <f t="shared" si="13"/>
        <v>0</v>
      </c>
      <c r="BY182" s="14">
        <f t="shared" si="14"/>
        <v>0</v>
      </c>
      <c r="BZ182" s="14">
        <f t="shared" si="15"/>
        <v>0</v>
      </c>
      <c r="CA182" s="14">
        <f t="shared" si="16"/>
        <v>21.25</v>
      </c>
      <c r="CB182" s="14">
        <f t="shared" si="17"/>
        <v>21.25</v>
      </c>
      <c r="CC182" s="15">
        <f t="shared" si="18"/>
        <v>0.82899999999999996</v>
      </c>
      <c r="CD182" s="14">
        <f t="shared" si="19"/>
        <v>17.62</v>
      </c>
      <c r="CE182" s="14">
        <f t="shared" si="20"/>
        <v>0.93</v>
      </c>
      <c r="CF182" s="14">
        <f t="shared" si="21"/>
        <v>16.39</v>
      </c>
      <c r="CG182" s="14">
        <f t="shared" si="22"/>
        <v>173</v>
      </c>
    </row>
    <row r="183" spans="1:85" ht="13.2" x14ac:dyDescent="0.25">
      <c r="A183" s="8">
        <v>960247</v>
      </c>
      <c r="B183" s="9" t="s">
        <v>287</v>
      </c>
      <c r="C183" s="9" t="s">
        <v>283</v>
      </c>
      <c r="D183" s="9">
        <v>0</v>
      </c>
      <c r="E183" s="9">
        <v>0</v>
      </c>
      <c r="F183" s="9">
        <f t="shared" si="49"/>
        <v>0</v>
      </c>
      <c r="G183" s="9">
        <v>1</v>
      </c>
      <c r="H183" s="9">
        <v>9</v>
      </c>
      <c r="I183" s="9">
        <v>14</v>
      </c>
      <c r="J183" s="11">
        <f t="shared" si="44"/>
        <v>0.3</v>
      </c>
      <c r="K183" s="9">
        <v>388</v>
      </c>
      <c r="L183" s="9">
        <v>2.8</v>
      </c>
      <c r="M183" s="9">
        <v>0</v>
      </c>
      <c r="N183" s="9" t="s">
        <v>284</v>
      </c>
      <c r="O183" s="9">
        <v>5</v>
      </c>
      <c r="P183" s="12" t="s">
        <v>101</v>
      </c>
      <c r="Q183" s="12">
        <v>1</v>
      </c>
      <c r="R183" s="12">
        <v>28</v>
      </c>
      <c r="S183" s="9">
        <v>62</v>
      </c>
      <c r="T183" s="9">
        <v>29.9</v>
      </c>
      <c r="U183" s="10">
        <f t="shared" si="1"/>
        <v>0.5</v>
      </c>
      <c r="V183" s="9">
        <v>150.97</v>
      </c>
      <c r="W183" s="10">
        <f t="shared" ref="W183:W185" si="51">ROUND((V183 - MIN(V$2:V$98)) / (MAX(V$2:V$98) - MIN(V$2:V$98)), 1)</f>
        <v>0.6</v>
      </c>
      <c r="X183" s="9">
        <v>14</v>
      </c>
      <c r="Y183" s="9">
        <v>10</v>
      </c>
      <c r="Z183" s="9">
        <v>0</v>
      </c>
      <c r="AA183" s="9">
        <v>1</v>
      </c>
      <c r="AB183" s="9">
        <v>1</v>
      </c>
      <c r="AC183" s="9">
        <f t="shared" si="48"/>
        <v>2</v>
      </c>
      <c r="AD183" s="9">
        <v>1</v>
      </c>
      <c r="AE183" s="9">
        <v>0</v>
      </c>
      <c r="AF183" s="9">
        <v>0</v>
      </c>
      <c r="AG183" s="9">
        <v>0</v>
      </c>
      <c r="AH183" s="9">
        <v>0</v>
      </c>
      <c r="AI183" s="13">
        <v>6.9</v>
      </c>
      <c r="AJ183" s="9">
        <f t="shared" si="4"/>
        <v>0</v>
      </c>
      <c r="AK183" s="9">
        <v>5</v>
      </c>
      <c r="AL183" s="9">
        <v>0</v>
      </c>
      <c r="AM183" s="9">
        <v>0</v>
      </c>
      <c r="AN183" s="9">
        <v>0</v>
      </c>
      <c r="AO183" s="9">
        <f t="shared" si="41"/>
        <v>0</v>
      </c>
      <c r="AP183" s="9">
        <v>0</v>
      </c>
      <c r="AQ183" s="9">
        <f t="shared" si="45"/>
        <v>0.2</v>
      </c>
      <c r="AR183" s="9">
        <v>3</v>
      </c>
      <c r="AS183" s="12">
        <v>0</v>
      </c>
      <c r="AT183" s="12">
        <v>0</v>
      </c>
      <c r="AU183" s="12">
        <v>0</v>
      </c>
      <c r="AV183" s="12">
        <v>0</v>
      </c>
      <c r="AW183" s="9">
        <v>0</v>
      </c>
      <c r="AX183" s="9">
        <v>0</v>
      </c>
      <c r="AY183" s="9">
        <v>16</v>
      </c>
      <c r="AZ183" s="9">
        <v>1</v>
      </c>
      <c r="BA183" s="9">
        <v>45</v>
      </c>
      <c r="BB183" s="9">
        <v>1</v>
      </c>
      <c r="BC183" s="9">
        <v>0</v>
      </c>
      <c r="BD183" s="9">
        <v>0</v>
      </c>
      <c r="BE183" s="9">
        <v>7</v>
      </c>
      <c r="BF183" s="9">
        <f t="shared" si="8"/>
        <v>0.3</v>
      </c>
      <c r="BG183" s="9">
        <f t="shared" si="32"/>
        <v>2</v>
      </c>
      <c r="BH183" s="9">
        <v>6</v>
      </c>
      <c r="BI183" s="9">
        <f t="shared" si="10"/>
        <v>0</v>
      </c>
      <c r="BJ183" s="9">
        <v>6</v>
      </c>
      <c r="BK183" s="9">
        <v>0.56999999999999995</v>
      </c>
      <c r="BL183" s="15">
        <v>7</v>
      </c>
      <c r="BM183" s="14">
        <v>0.33</v>
      </c>
      <c r="BN183" s="8">
        <v>0</v>
      </c>
      <c r="BO183" s="14">
        <f t="shared" si="50"/>
        <v>0.3</v>
      </c>
      <c r="BP183" s="14">
        <v>0</v>
      </c>
      <c r="BQ183" s="14">
        <v>0</v>
      </c>
      <c r="BR183" s="15">
        <v>0</v>
      </c>
      <c r="BS183" s="15">
        <f t="shared" si="29"/>
        <v>1.284</v>
      </c>
      <c r="BT183" s="14">
        <v>0</v>
      </c>
      <c r="BU183" s="14">
        <v>0</v>
      </c>
      <c r="BV183" s="15">
        <v>172</v>
      </c>
      <c r="BW183" s="15">
        <v>0.191</v>
      </c>
      <c r="BX183" s="15">
        <f t="shared" si="13"/>
        <v>0</v>
      </c>
      <c r="BY183" s="14">
        <f t="shared" si="14"/>
        <v>0</v>
      </c>
      <c r="BZ183" s="14">
        <f t="shared" si="15"/>
        <v>0</v>
      </c>
      <c r="CA183" s="14">
        <f t="shared" si="16"/>
        <v>61.5</v>
      </c>
      <c r="CB183" s="14">
        <f t="shared" si="17"/>
        <v>61.5</v>
      </c>
      <c r="CC183" s="15">
        <f t="shared" si="18"/>
        <v>0.82799999999999996</v>
      </c>
      <c r="CD183" s="14">
        <f t="shared" si="19"/>
        <v>50.92</v>
      </c>
      <c r="CE183" s="14">
        <f t="shared" si="20"/>
        <v>0.98</v>
      </c>
      <c r="CF183" s="14">
        <f t="shared" si="21"/>
        <v>49.9</v>
      </c>
      <c r="CG183" s="14">
        <f t="shared" si="22"/>
        <v>26</v>
      </c>
    </row>
    <row r="184" spans="1:85" ht="13.2" x14ac:dyDescent="0.25">
      <c r="A184" s="8">
        <v>311857</v>
      </c>
      <c r="B184" s="9" t="s">
        <v>288</v>
      </c>
      <c r="C184" s="9" t="s">
        <v>283</v>
      </c>
      <c r="D184" s="9">
        <v>0</v>
      </c>
      <c r="E184" s="9">
        <v>0</v>
      </c>
      <c r="F184" s="9">
        <f t="shared" si="49"/>
        <v>0</v>
      </c>
      <c r="G184" s="9">
        <v>1</v>
      </c>
      <c r="H184" s="9">
        <v>7</v>
      </c>
      <c r="I184" s="9">
        <v>11</v>
      </c>
      <c r="J184" s="11">
        <f t="shared" si="44"/>
        <v>0.2</v>
      </c>
      <c r="K184" s="9">
        <v>278</v>
      </c>
      <c r="L184" s="9">
        <v>5.4</v>
      </c>
      <c r="M184" s="9">
        <v>0</v>
      </c>
      <c r="N184" s="9" t="s">
        <v>90</v>
      </c>
      <c r="O184" s="9">
        <v>5</v>
      </c>
      <c r="P184" s="12" t="s">
        <v>103</v>
      </c>
      <c r="Q184" s="12">
        <v>1</v>
      </c>
      <c r="R184" s="12">
        <v>29</v>
      </c>
      <c r="S184" s="9">
        <v>73</v>
      </c>
      <c r="T184" s="9">
        <v>30.9</v>
      </c>
      <c r="U184" s="10">
        <f t="shared" si="1"/>
        <v>0.6</v>
      </c>
      <c r="V184" s="9">
        <v>162.57</v>
      </c>
      <c r="W184" s="10">
        <f t="shared" si="51"/>
        <v>0.7</v>
      </c>
      <c r="X184" s="9">
        <v>20</v>
      </c>
      <c r="Y184" s="9">
        <v>12</v>
      </c>
      <c r="Z184" s="9">
        <v>0</v>
      </c>
      <c r="AA184" s="9">
        <v>2</v>
      </c>
      <c r="AB184" s="9">
        <v>2.6</v>
      </c>
      <c r="AC184" s="9">
        <f t="shared" si="48"/>
        <v>3</v>
      </c>
      <c r="AD184" s="9">
        <v>2</v>
      </c>
      <c r="AE184" s="9">
        <v>0</v>
      </c>
      <c r="AF184" s="9">
        <v>0</v>
      </c>
      <c r="AG184" s="9">
        <v>0</v>
      </c>
      <c r="AH184" s="9">
        <v>0</v>
      </c>
      <c r="AI184" s="13">
        <v>5.8</v>
      </c>
      <c r="AJ184" s="9">
        <f t="shared" si="4"/>
        <v>0</v>
      </c>
      <c r="AK184" s="9">
        <v>1</v>
      </c>
      <c r="AL184" s="9">
        <v>0</v>
      </c>
      <c r="AM184" s="9">
        <v>0</v>
      </c>
      <c r="AN184" s="9">
        <v>0</v>
      </c>
      <c r="AO184" s="9">
        <f t="shared" si="41"/>
        <v>0</v>
      </c>
      <c r="AP184" s="9">
        <v>0</v>
      </c>
      <c r="AQ184" s="9">
        <f t="shared" si="45"/>
        <v>0.2</v>
      </c>
      <c r="AR184" s="9">
        <v>3</v>
      </c>
      <c r="AS184" s="12">
        <v>0</v>
      </c>
      <c r="AT184" s="12">
        <v>0</v>
      </c>
      <c r="AU184" s="12">
        <v>0</v>
      </c>
      <c r="AV184" s="12">
        <v>0</v>
      </c>
      <c r="AW184" s="9">
        <v>0</v>
      </c>
      <c r="AX184" s="9">
        <v>0</v>
      </c>
      <c r="AY184" s="9">
        <v>10</v>
      </c>
      <c r="AZ184" s="9">
        <v>0.625</v>
      </c>
      <c r="BA184" s="9">
        <v>9</v>
      </c>
      <c r="BB184" s="9">
        <v>0.2</v>
      </c>
      <c r="BC184" s="9">
        <v>0</v>
      </c>
      <c r="BD184" s="9">
        <v>0</v>
      </c>
      <c r="BE184" s="9">
        <v>7.5</v>
      </c>
      <c r="BF184" s="9">
        <f t="shared" si="8"/>
        <v>0.4</v>
      </c>
      <c r="BG184" s="9">
        <f t="shared" si="32"/>
        <v>2</v>
      </c>
      <c r="BH184" s="9">
        <v>6</v>
      </c>
      <c r="BI184" s="9">
        <f t="shared" si="10"/>
        <v>0</v>
      </c>
      <c r="BJ184" s="9">
        <v>6</v>
      </c>
      <c r="BK184" s="9">
        <v>0.71</v>
      </c>
      <c r="BL184" s="15">
        <v>7</v>
      </c>
      <c r="BM184" s="14">
        <v>0.33</v>
      </c>
      <c r="BN184" s="8">
        <v>0</v>
      </c>
      <c r="BO184" s="14">
        <f t="shared" si="50"/>
        <v>0.3</v>
      </c>
      <c r="BP184" s="14">
        <v>0</v>
      </c>
      <c r="BQ184" s="14">
        <v>0</v>
      </c>
      <c r="BR184" s="15">
        <v>0</v>
      </c>
      <c r="BS184" s="14">
        <f t="shared" si="29"/>
        <v>2.4620000000000002</v>
      </c>
      <c r="BT184" s="14">
        <v>0</v>
      </c>
      <c r="BU184" s="14">
        <v>0</v>
      </c>
      <c r="BV184" s="15">
        <v>96.25</v>
      </c>
      <c r="BW184" s="15">
        <v>0.109</v>
      </c>
      <c r="BX184" s="15">
        <f t="shared" si="13"/>
        <v>0</v>
      </c>
      <c r="BY184" s="14">
        <f t="shared" si="14"/>
        <v>0</v>
      </c>
      <c r="BZ184" s="14">
        <f t="shared" si="15"/>
        <v>0</v>
      </c>
      <c r="CA184" s="14">
        <f t="shared" si="16"/>
        <v>39.25</v>
      </c>
      <c r="CB184" s="14">
        <f t="shared" si="17"/>
        <v>39.25</v>
      </c>
      <c r="CC184" s="15">
        <f t="shared" si="18"/>
        <v>0.94599999999999995</v>
      </c>
      <c r="CD184" s="14">
        <f t="shared" si="19"/>
        <v>37.130000000000003</v>
      </c>
      <c r="CE184" s="14">
        <f t="shared" si="20"/>
        <v>0.98</v>
      </c>
      <c r="CF184" s="14">
        <f t="shared" si="21"/>
        <v>36.39</v>
      </c>
      <c r="CG184" s="14">
        <f t="shared" si="22"/>
        <v>55</v>
      </c>
    </row>
    <row r="185" spans="1:85" ht="13.2" x14ac:dyDescent="0.25">
      <c r="A185" s="8">
        <v>1070186</v>
      </c>
      <c r="B185" s="9" t="s">
        <v>114</v>
      </c>
      <c r="C185" s="9" t="s">
        <v>283</v>
      </c>
      <c r="D185" s="9">
        <v>0</v>
      </c>
      <c r="E185" s="9">
        <v>0</v>
      </c>
      <c r="F185" s="9">
        <f t="shared" si="49"/>
        <v>0</v>
      </c>
      <c r="G185" s="9">
        <v>1</v>
      </c>
      <c r="H185" s="9">
        <v>14</v>
      </c>
      <c r="I185" s="9">
        <v>14</v>
      </c>
      <c r="J185" s="11">
        <f t="shared" si="44"/>
        <v>0.4</v>
      </c>
      <c r="K185" s="9">
        <v>538</v>
      </c>
      <c r="L185" s="9">
        <v>5.4</v>
      </c>
      <c r="M185" s="9">
        <v>0</v>
      </c>
      <c r="N185" s="9" t="s">
        <v>284</v>
      </c>
      <c r="O185" s="9">
        <v>2</v>
      </c>
      <c r="P185" s="12" t="s">
        <v>94</v>
      </c>
      <c r="Q185" s="12">
        <v>1</v>
      </c>
      <c r="R185" s="12">
        <v>34</v>
      </c>
      <c r="S185" s="9">
        <v>107</v>
      </c>
      <c r="T185" s="9">
        <v>59.8</v>
      </c>
      <c r="U185" s="10">
        <f t="shared" si="1"/>
        <v>1.1000000000000001</v>
      </c>
      <c r="V185" s="9">
        <v>163.03</v>
      </c>
      <c r="W185" s="10">
        <f t="shared" si="51"/>
        <v>0.7</v>
      </c>
      <c r="X185" s="9">
        <v>42</v>
      </c>
      <c r="Y185" s="9">
        <v>22</v>
      </c>
      <c r="Z185" s="9">
        <v>1</v>
      </c>
      <c r="AA185" s="9">
        <v>3</v>
      </c>
      <c r="AB185" s="9">
        <v>15</v>
      </c>
      <c r="AC185" s="9">
        <f t="shared" si="48"/>
        <v>3</v>
      </c>
      <c r="AD185" s="9">
        <v>2</v>
      </c>
      <c r="AE185" s="9">
        <v>0</v>
      </c>
      <c r="AF185" s="9">
        <v>0</v>
      </c>
      <c r="AG185" s="9">
        <v>0</v>
      </c>
      <c r="AH185" s="9">
        <v>0</v>
      </c>
      <c r="AI185" s="13">
        <v>6</v>
      </c>
      <c r="AJ185" s="9">
        <f t="shared" si="4"/>
        <v>0</v>
      </c>
      <c r="AK185" s="9">
        <v>2</v>
      </c>
      <c r="AL185" s="9">
        <v>0</v>
      </c>
      <c r="AM185" s="9">
        <v>0</v>
      </c>
      <c r="AN185" s="9">
        <v>0</v>
      </c>
      <c r="AO185" s="9">
        <f t="shared" si="41"/>
        <v>0</v>
      </c>
      <c r="AP185" s="9">
        <v>0</v>
      </c>
      <c r="AQ185" s="9">
        <f t="shared" si="45"/>
        <v>0.3</v>
      </c>
      <c r="AR185" s="9">
        <v>4</v>
      </c>
      <c r="AS185" s="12">
        <v>0</v>
      </c>
      <c r="AT185" s="12">
        <v>0</v>
      </c>
      <c r="AU185" s="12">
        <v>0</v>
      </c>
      <c r="AV185" s="12">
        <v>0</v>
      </c>
      <c r="AW185" s="9">
        <v>0</v>
      </c>
      <c r="AX185" s="9">
        <v>0</v>
      </c>
      <c r="AY185" s="9">
        <v>10</v>
      </c>
      <c r="AZ185" s="9">
        <v>0.625</v>
      </c>
      <c r="BA185" s="9">
        <v>20</v>
      </c>
      <c r="BB185" s="9">
        <v>0.44440000000000002</v>
      </c>
      <c r="BC185" s="9">
        <v>0</v>
      </c>
      <c r="BD185" s="9">
        <v>0</v>
      </c>
      <c r="BE185" s="9">
        <v>7</v>
      </c>
      <c r="BF185" s="9">
        <f t="shared" si="8"/>
        <v>0.3</v>
      </c>
      <c r="BG185" s="9">
        <f t="shared" si="32"/>
        <v>1</v>
      </c>
      <c r="BH185" s="9">
        <v>6</v>
      </c>
      <c r="BI185" s="9">
        <f t="shared" si="10"/>
        <v>0</v>
      </c>
      <c r="BJ185" s="9">
        <v>7</v>
      </c>
      <c r="BK185" s="9"/>
      <c r="BL185" s="15">
        <v>8</v>
      </c>
      <c r="BM185" s="14">
        <v>0.67</v>
      </c>
      <c r="BN185" s="14">
        <v>0</v>
      </c>
      <c r="BO185" s="14">
        <f t="shared" si="50"/>
        <v>0.5</v>
      </c>
      <c r="BP185" s="14">
        <v>0</v>
      </c>
      <c r="BQ185" s="14">
        <v>0</v>
      </c>
      <c r="BR185" s="15">
        <v>0.81</v>
      </c>
      <c r="BS185" s="14">
        <f t="shared" si="29"/>
        <v>0.4662599999999999</v>
      </c>
      <c r="BT185" s="14">
        <v>0</v>
      </c>
      <c r="BU185" s="14">
        <v>0</v>
      </c>
      <c r="BV185" s="15">
        <v>91.25</v>
      </c>
      <c r="BW185" s="15">
        <v>0.104</v>
      </c>
      <c r="BX185" s="15">
        <f t="shared" si="13"/>
        <v>0</v>
      </c>
      <c r="BY185" s="14">
        <f t="shared" si="14"/>
        <v>0</v>
      </c>
      <c r="BZ185" s="14">
        <f t="shared" si="15"/>
        <v>0</v>
      </c>
      <c r="CA185" s="14">
        <f t="shared" si="16"/>
        <v>50.915999999999997</v>
      </c>
      <c r="CB185" s="14">
        <f t="shared" si="17"/>
        <v>50.915999999999997</v>
      </c>
      <c r="CC185" s="15">
        <f t="shared" si="18"/>
        <v>0.90900000000000003</v>
      </c>
      <c r="CD185" s="14">
        <f t="shared" si="19"/>
        <v>46.28</v>
      </c>
      <c r="CE185" s="14">
        <f t="shared" si="20"/>
        <v>0.97</v>
      </c>
      <c r="CF185" s="14">
        <f t="shared" si="21"/>
        <v>44.89</v>
      </c>
      <c r="CG185" s="14">
        <f t="shared" si="22"/>
        <v>39</v>
      </c>
    </row>
    <row r="186" spans="1:85" ht="13.2" x14ac:dyDescent="0.25">
      <c r="A186" s="8"/>
      <c r="B186" s="15"/>
      <c r="C186" s="15" t="s">
        <v>289</v>
      </c>
      <c r="D186" s="15">
        <f>COUNTIF(C:C,"Wicket-keeper")</f>
        <v>8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25"/>
      <c r="AJ186" s="9"/>
      <c r="BC186" s="15"/>
      <c r="BF186" s="9"/>
      <c r="BI186" s="9"/>
      <c r="BJ186" s="9"/>
      <c r="BK186" s="9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</row>
    <row r="187" spans="1:85" ht="13.2" x14ac:dyDescent="0.25">
      <c r="A187" s="8"/>
      <c r="B187" s="15"/>
      <c r="C187" s="15" t="s">
        <v>290</v>
      </c>
      <c r="D187" s="15">
        <f>COUNTA(C:C,"Batsman")</f>
        <v>190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25"/>
      <c r="AJ187" s="9"/>
      <c r="BC187" s="15"/>
      <c r="BF187" s="9"/>
      <c r="BI187" s="9"/>
      <c r="BJ187" s="9"/>
      <c r="BK187" s="9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</row>
    <row r="188" spans="1:85" ht="13.2" x14ac:dyDescent="0.25">
      <c r="A188" s="8"/>
      <c r="B188" s="15"/>
      <c r="C188" s="15" t="s">
        <v>291</v>
      </c>
      <c r="D188" s="15">
        <f>COUNTIF(C:C,"Bowler")</f>
        <v>73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25"/>
      <c r="AJ188" s="9"/>
      <c r="BC188" s="15"/>
      <c r="BF188" s="9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</row>
    <row r="189" spans="1:85" ht="13.2" x14ac:dyDescent="0.25">
      <c r="A189" s="8"/>
      <c r="B189" s="15"/>
      <c r="C189" s="15" t="s">
        <v>292</v>
      </c>
      <c r="D189" s="15">
        <f>COUNTIF(C:C,"All-rounder")</f>
        <v>22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25"/>
      <c r="AJ189" s="9"/>
      <c r="BC189" s="15"/>
      <c r="BF189" s="9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</row>
    <row r="190" spans="1:85" ht="13.2" x14ac:dyDescent="0.25">
      <c r="A190" s="8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25"/>
      <c r="AJ190" s="9"/>
      <c r="BC190" s="15"/>
      <c r="BF190" s="9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</row>
    <row r="191" spans="1:85" ht="13.2" x14ac:dyDescent="0.25">
      <c r="A191" s="8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25"/>
      <c r="AJ191" s="9"/>
      <c r="BC191" s="15"/>
      <c r="BF191" s="9"/>
      <c r="BO191" s="14"/>
      <c r="BP191" s="14"/>
      <c r="BQ191" s="14"/>
      <c r="BR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</row>
    <row r="192" spans="1:85" ht="13.2" x14ac:dyDescent="0.25">
      <c r="A192" s="8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25"/>
      <c r="BC192" s="15"/>
      <c r="BR192" s="14"/>
      <c r="BV192" s="14"/>
      <c r="BW192" s="14"/>
    </row>
    <row r="193" spans="1:75" ht="13.2" x14ac:dyDescent="0.25">
      <c r="A193" s="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25"/>
      <c r="BC193" s="15"/>
      <c r="BR193" s="15"/>
      <c r="BV193" s="14"/>
      <c r="BW193" s="14"/>
    </row>
    <row r="194" spans="1:75" ht="13.2" x14ac:dyDescent="0.25">
      <c r="A194" s="8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25"/>
      <c r="BC194" s="15"/>
      <c r="BR194" s="15"/>
      <c r="BV194" s="14"/>
      <c r="BW194" s="14"/>
    </row>
    <row r="195" spans="1:75" ht="13.2" x14ac:dyDescent="0.25">
      <c r="A195" s="8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25"/>
      <c r="BC195" s="15"/>
      <c r="BR195" s="15"/>
      <c r="BV195" s="14"/>
      <c r="BW195" s="14"/>
    </row>
    <row r="196" spans="1:75" ht="13.2" x14ac:dyDescent="0.25">
      <c r="A196" s="8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25"/>
      <c r="BC196" s="15"/>
      <c r="BR196" s="15"/>
      <c r="BV196" s="14"/>
      <c r="BW196" s="14"/>
    </row>
    <row r="197" spans="1:75" ht="13.2" x14ac:dyDescent="0.25">
      <c r="A197" s="8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25"/>
      <c r="BC197" s="15"/>
      <c r="BR197" s="15"/>
    </row>
    <row r="198" spans="1:75" ht="13.2" x14ac:dyDescent="0.25">
      <c r="A198" s="8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25"/>
      <c r="BC198" s="15"/>
      <c r="BR198" s="15"/>
    </row>
    <row r="199" spans="1:75" ht="13.2" x14ac:dyDescent="0.25">
      <c r="A199" s="8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25"/>
      <c r="BC199" s="15"/>
      <c r="BR199" s="15"/>
    </row>
    <row r="200" spans="1:75" ht="13.2" x14ac:dyDescent="0.25">
      <c r="A200" s="8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25"/>
      <c r="BC200" s="15"/>
      <c r="BR200" s="15"/>
    </row>
    <row r="201" spans="1:75" ht="13.2" x14ac:dyDescent="0.25">
      <c r="A201" s="8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25"/>
      <c r="BC201" s="15"/>
      <c r="BR201" s="15"/>
    </row>
    <row r="202" spans="1:75" ht="13.2" x14ac:dyDescent="0.25">
      <c r="A202" s="8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25"/>
      <c r="BC202" s="15"/>
      <c r="BR202" s="15"/>
    </row>
    <row r="203" spans="1:75" ht="13.2" x14ac:dyDescent="0.25">
      <c r="A203" s="8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25"/>
      <c r="BC203" s="15"/>
      <c r="BR203" s="15"/>
    </row>
    <row r="204" spans="1:75" ht="13.2" x14ac:dyDescent="0.25">
      <c r="A204" s="8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25"/>
      <c r="BC204" s="15"/>
      <c r="BR204" s="15"/>
    </row>
    <row r="205" spans="1:75" ht="13.2" x14ac:dyDescent="0.25">
      <c r="A205" s="8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25"/>
      <c r="BC205" s="15"/>
      <c r="BR205" s="15"/>
    </row>
    <row r="206" spans="1:75" ht="13.2" x14ac:dyDescent="0.25">
      <c r="A206" s="8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25"/>
      <c r="BC206" s="15"/>
      <c r="BR206" s="15"/>
    </row>
    <row r="207" spans="1:75" ht="13.2" x14ac:dyDescent="0.25">
      <c r="A207" s="8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25"/>
      <c r="BC207" s="15"/>
      <c r="BR207" s="15"/>
    </row>
    <row r="208" spans="1:75" ht="13.2" x14ac:dyDescent="0.25">
      <c r="A208" s="8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25"/>
      <c r="BC208" s="15"/>
      <c r="BR208" s="15"/>
    </row>
    <row r="209" spans="1:70" ht="13.2" x14ac:dyDescent="0.25">
      <c r="A209" s="8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25"/>
      <c r="BC209" s="15"/>
      <c r="BR209" s="15"/>
    </row>
    <row r="210" spans="1:70" ht="13.2" x14ac:dyDescent="0.25">
      <c r="A210" s="8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25"/>
      <c r="BC210" s="15"/>
      <c r="BR210" s="15"/>
    </row>
    <row r="211" spans="1:70" ht="13.2" x14ac:dyDescent="0.25">
      <c r="A211" s="8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25"/>
      <c r="BC211" s="15"/>
      <c r="BR211" s="15"/>
    </row>
    <row r="212" spans="1:70" ht="13.2" x14ac:dyDescent="0.25">
      <c r="A212" s="8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25"/>
      <c r="BC212" s="15"/>
      <c r="BR212" s="15"/>
    </row>
    <row r="213" spans="1:70" ht="13.2" x14ac:dyDescent="0.25">
      <c r="A213" s="8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25"/>
      <c r="BC213" s="15"/>
      <c r="BR213" s="15"/>
    </row>
    <row r="214" spans="1:70" ht="13.2" x14ac:dyDescent="0.25">
      <c r="A214" s="8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25"/>
      <c r="BC214" s="15"/>
      <c r="BR214" s="15"/>
    </row>
    <row r="215" spans="1:70" ht="13.2" x14ac:dyDescent="0.25">
      <c r="A215" s="8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25"/>
      <c r="BC215" s="15"/>
      <c r="BR215" s="15"/>
    </row>
    <row r="216" spans="1:70" ht="13.2" x14ac:dyDescent="0.25">
      <c r="A216" s="8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25"/>
      <c r="BC216" s="15"/>
      <c r="BR216" s="15"/>
    </row>
    <row r="217" spans="1:70" ht="13.2" x14ac:dyDescent="0.25">
      <c r="A217" s="8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25"/>
      <c r="BC217" s="15"/>
      <c r="BR217" s="15"/>
    </row>
    <row r="218" spans="1:70" ht="13.2" x14ac:dyDescent="0.25">
      <c r="A218" s="8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25"/>
      <c r="BC218" s="15"/>
      <c r="BR218" s="15"/>
    </row>
    <row r="219" spans="1:70" ht="13.2" x14ac:dyDescent="0.25">
      <c r="A219" s="8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25"/>
      <c r="BC219" s="15"/>
      <c r="BR219" s="15"/>
    </row>
    <row r="220" spans="1:70" ht="13.2" x14ac:dyDescent="0.25">
      <c r="A220" s="8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25"/>
      <c r="BC220" s="15"/>
      <c r="BR220" s="15"/>
    </row>
    <row r="221" spans="1:70" ht="13.2" x14ac:dyDescent="0.25">
      <c r="A221" s="8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25"/>
      <c r="BC221" s="15"/>
      <c r="BR221" s="15"/>
    </row>
    <row r="222" spans="1:70" ht="13.2" x14ac:dyDescent="0.25">
      <c r="A222" s="8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26"/>
      <c r="BC222" s="15"/>
      <c r="BR222" s="15"/>
    </row>
    <row r="223" spans="1:70" ht="13.2" x14ac:dyDescent="0.25">
      <c r="A223" s="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26"/>
      <c r="BC223" s="15"/>
      <c r="BR223" s="15"/>
    </row>
    <row r="224" spans="1:70" ht="13.2" x14ac:dyDescent="0.25">
      <c r="A224" s="8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26"/>
      <c r="BC224" s="15"/>
      <c r="BR224" s="15"/>
    </row>
    <row r="225" spans="1:70" ht="13.2" x14ac:dyDescent="0.25">
      <c r="A225" s="8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26"/>
      <c r="BC225" s="15"/>
      <c r="BR225" s="15"/>
    </row>
    <row r="226" spans="1:70" ht="13.2" x14ac:dyDescent="0.25">
      <c r="A226" s="8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26"/>
      <c r="BC226" s="15"/>
      <c r="BR226" s="15"/>
    </row>
    <row r="227" spans="1:70" ht="13.2" x14ac:dyDescent="0.25">
      <c r="A227" s="8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26"/>
      <c r="BC227" s="15"/>
      <c r="BR227" s="15"/>
    </row>
    <row r="228" spans="1:70" ht="13.2" x14ac:dyDescent="0.25">
      <c r="A228" s="8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26"/>
      <c r="BC228" s="15"/>
      <c r="BR228" s="15"/>
    </row>
    <row r="229" spans="1:70" ht="13.2" x14ac:dyDescent="0.25">
      <c r="A229" s="8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26"/>
      <c r="BC229" s="15"/>
      <c r="BR229" s="15"/>
    </row>
    <row r="230" spans="1:70" ht="13.2" x14ac:dyDescent="0.25">
      <c r="A230" s="8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26"/>
      <c r="BC230" s="15"/>
      <c r="BR230" s="15"/>
    </row>
    <row r="231" spans="1:70" ht="13.2" x14ac:dyDescent="0.25">
      <c r="A231" s="8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26"/>
      <c r="BC231" s="15"/>
      <c r="BR231" s="15"/>
    </row>
    <row r="232" spans="1:70" ht="13.2" x14ac:dyDescent="0.25">
      <c r="A232" s="8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26"/>
      <c r="BC232" s="15"/>
      <c r="BR232" s="15"/>
    </row>
    <row r="233" spans="1:70" ht="13.2" x14ac:dyDescent="0.25">
      <c r="A233" s="8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26"/>
      <c r="BC233" s="15"/>
      <c r="BR233" s="15"/>
    </row>
    <row r="234" spans="1:70" ht="13.2" x14ac:dyDescent="0.25">
      <c r="A234" s="8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26"/>
      <c r="BC234" s="15"/>
      <c r="BR234" s="15"/>
    </row>
    <row r="235" spans="1:70" ht="13.2" x14ac:dyDescent="0.25">
      <c r="A235" s="8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26"/>
      <c r="BC235" s="15"/>
      <c r="BR235" s="15"/>
    </row>
    <row r="236" spans="1:70" ht="13.2" x14ac:dyDescent="0.25">
      <c r="A236" s="8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26"/>
      <c r="BC236" s="15"/>
      <c r="BR236" s="15"/>
    </row>
    <row r="237" spans="1:70" ht="13.2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26"/>
      <c r="BC237" s="15"/>
      <c r="BR237" s="15"/>
    </row>
    <row r="238" spans="1:70" ht="13.2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26"/>
      <c r="BC238" s="15"/>
      <c r="BR238" s="15"/>
    </row>
    <row r="239" spans="1:70" ht="13.2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26"/>
      <c r="BC239" s="15"/>
      <c r="BR239" s="15"/>
    </row>
    <row r="240" spans="1:70" ht="13.2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26"/>
      <c r="BC240" s="15"/>
      <c r="BR240" s="15"/>
    </row>
    <row r="241" spans="1:70" ht="13.2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26"/>
      <c r="BC241" s="15"/>
      <c r="BR241" s="15"/>
    </row>
    <row r="242" spans="1:70" ht="13.2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26"/>
      <c r="BC242" s="15"/>
      <c r="BR242" s="15"/>
    </row>
    <row r="243" spans="1:70" ht="13.2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26"/>
      <c r="BC243" s="15"/>
      <c r="BR243" s="15"/>
    </row>
    <row r="244" spans="1:70" ht="13.2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26"/>
      <c r="BC244" s="15"/>
      <c r="BR244" s="15"/>
    </row>
    <row r="245" spans="1:70" ht="13.2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26"/>
      <c r="BC245" s="15"/>
      <c r="BR245" s="15"/>
    </row>
    <row r="246" spans="1:70" ht="13.2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26"/>
      <c r="BC246" s="15"/>
      <c r="BR246" s="15"/>
    </row>
    <row r="247" spans="1:70" ht="13.2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26"/>
      <c r="BC247" s="15"/>
      <c r="BR247" s="15"/>
    </row>
    <row r="248" spans="1:70" ht="13.2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26"/>
      <c r="BC248" s="15"/>
      <c r="BR248" s="15"/>
    </row>
    <row r="249" spans="1:70" ht="13.2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26"/>
      <c r="BC249" s="15"/>
      <c r="BR249" s="15"/>
    </row>
    <row r="250" spans="1:70" ht="13.2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26"/>
      <c r="BC250" s="15"/>
      <c r="BR250" s="15"/>
    </row>
    <row r="251" spans="1:70" ht="13.2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26"/>
      <c r="BC251" s="15"/>
      <c r="BR251" s="15"/>
    </row>
    <row r="252" spans="1:70" ht="13.2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26"/>
      <c r="BC252" s="15"/>
      <c r="BR252" s="15"/>
    </row>
    <row r="253" spans="1:70" ht="13.2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26"/>
      <c r="BC253" s="15"/>
      <c r="BR253" s="15"/>
    </row>
    <row r="254" spans="1:70" ht="13.2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26"/>
      <c r="BC254" s="15"/>
      <c r="BR254" s="15"/>
    </row>
    <row r="255" spans="1:70" ht="13.2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26"/>
      <c r="BC255" s="15"/>
      <c r="BR255" s="15"/>
    </row>
    <row r="256" spans="1:70" ht="13.2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26"/>
      <c r="BC256" s="15"/>
      <c r="BR256" s="15"/>
    </row>
    <row r="257" spans="1:70" ht="13.2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26"/>
      <c r="BC257" s="15"/>
      <c r="BR257" s="15"/>
    </row>
    <row r="258" spans="1:70" ht="13.2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26"/>
      <c r="BC258" s="15"/>
      <c r="BR258" s="15"/>
    </row>
    <row r="259" spans="1:70" ht="13.2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26"/>
      <c r="BC259" s="15"/>
      <c r="BR259" s="15"/>
    </row>
    <row r="260" spans="1:70" ht="13.2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26"/>
      <c r="BC260" s="15"/>
      <c r="BR260" s="15"/>
    </row>
    <row r="261" spans="1:70" ht="13.2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26"/>
      <c r="BC261" s="15"/>
      <c r="BR261" s="15"/>
    </row>
    <row r="262" spans="1:70" ht="13.2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26"/>
      <c r="BC262" s="15"/>
      <c r="BR262" s="15"/>
    </row>
    <row r="263" spans="1:70" ht="13.2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26"/>
      <c r="BC263" s="15"/>
      <c r="BR263" s="15"/>
    </row>
    <row r="264" spans="1:70" ht="13.2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26"/>
      <c r="BC264" s="15"/>
      <c r="BR264" s="15"/>
    </row>
    <row r="265" spans="1:70" ht="13.2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26"/>
      <c r="BC265" s="15"/>
      <c r="BR265" s="15"/>
    </row>
    <row r="266" spans="1:70" ht="13.2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26"/>
      <c r="BC266" s="15"/>
      <c r="BR266" s="15"/>
    </row>
    <row r="267" spans="1:70" ht="13.2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26"/>
      <c r="BC267" s="15"/>
      <c r="BR267" s="15"/>
    </row>
    <row r="268" spans="1:70" ht="13.2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26"/>
      <c r="BC268" s="15"/>
      <c r="BR268" s="15"/>
    </row>
    <row r="269" spans="1:70" ht="13.2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26"/>
      <c r="BC269" s="15"/>
      <c r="BR269" s="15"/>
    </row>
    <row r="270" spans="1:70" ht="13.2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26"/>
      <c r="BC270" s="15"/>
      <c r="BR270" s="15"/>
    </row>
    <row r="271" spans="1:70" ht="13.2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26"/>
      <c r="BC271" s="15"/>
      <c r="BR271" s="15"/>
    </row>
    <row r="272" spans="1:70" ht="13.2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26"/>
      <c r="BC272" s="15"/>
      <c r="BR272" s="15"/>
    </row>
    <row r="273" spans="1:70" ht="13.2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26"/>
      <c r="BC273" s="15"/>
      <c r="BR273" s="15"/>
    </row>
    <row r="274" spans="1:70" ht="13.2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26"/>
      <c r="BC274" s="15"/>
      <c r="BR274" s="15"/>
    </row>
    <row r="275" spans="1:70" ht="13.2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26"/>
      <c r="BC275" s="15"/>
      <c r="BR275" s="15"/>
    </row>
    <row r="276" spans="1:70" ht="13.2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26"/>
      <c r="BC276" s="15"/>
      <c r="BR276" s="15"/>
    </row>
    <row r="277" spans="1:70" ht="13.2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26"/>
      <c r="BC277" s="15"/>
      <c r="BR277" s="15"/>
    </row>
    <row r="278" spans="1:70" ht="13.2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26"/>
      <c r="BC278" s="15"/>
      <c r="BR278" s="15"/>
    </row>
    <row r="279" spans="1:70" ht="13.2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26"/>
      <c r="BC279" s="15"/>
      <c r="BR279" s="15"/>
    </row>
    <row r="280" spans="1:70" ht="13.2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26"/>
      <c r="BC280" s="15"/>
      <c r="BR280" s="15"/>
    </row>
    <row r="281" spans="1:70" ht="13.2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26"/>
      <c r="BC281" s="15"/>
      <c r="BR281" s="15"/>
    </row>
    <row r="282" spans="1:70" ht="13.2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26"/>
      <c r="BC282" s="15"/>
      <c r="BR282" s="15"/>
    </row>
    <row r="283" spans="1:70" ht="13.2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26"/>
      <c r="BC283" s="15"/>
      <c r="BR283" s="15"/>
    </row>
    <row r="284" spans="1:70" ht="13.2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26"/>
      <c r="BC284" s="15"/>
      <c r="BR284" s="15"/>
    </row>
    <row r="285" spans="1:70" ht="13.2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26"/>
      <c r="BC285" s="15"/>
      <c r="BR285" s="15"/>
    </row>
    <row r="286" spans="1:70" ht="13.2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26"/>
      <c r="BC286" s="15"/>
      <c r="BR286" s="15"/>
    </row>
    <row r="287" spans="1:70" ht="13.2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26"/>
      <c r="BC287" s="15"/>
      <c r="BR287" s="15"/>
    </row>
    <row r="288" spans="1:70" ht="13.2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26"/>
      <c r="BC288" s="15"/>
      <c r="BR288" s="15"/>
    </row>
    <row r="289" spans="1:70" ht="13.2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26"/>
      <c r="BC289" s="15"/>
      <c r="BR289" s="15"/>
    </row>
    <row r="290" spans="1:70" ht="13.2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26"/>
      <c r="BC290" s="15"/>
      <c r="BR290" s="15"/>
    </row>
    <row r="291" spans="1:70" ht="13.2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26"/>
      <c r="BC291" s="15"/>
      <c r="BR291" s="15"/>
    </row>
    <row r="292" spans="1:70" ht="13.2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26"/>
      <c r="BC292" s="15"/>
      <c r="BR292" s="15"/>
    </row>
    <row r="293" spans="1:70" ht="13.2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26"/>
      <c r="BC293" s="15"/>
      <c r="BR293" s="15"/>
    </row>
    <row r="294" spans="1:70" ht="13.2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26"/>
      <c r="BC294" s="15"/>
      <c r="BR294" s="15"/>
    </row>
    <row r="295" spans="1:70" ht="13.2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26"/>
      <c r="BC295" s="15"/>
      <c r="BR295" s="15"/>
    </row>
    <row r="296" spans="1:70" ht="13.2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26"/>
      <c r="BC296" s="15"/>
      <c r="BR296" s="15"/>
    </row>
    <row r="297" spans="1:70" ht="13.2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26"/>
      <c r="BC297" s="15"/>
      <c r="BR297" s="15"/>
    </row>
    <row r="298" spans="1:70" ht="13.2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26"/>
      <c r="BC298" s="15"/>
      <c r="BR298" s="15"/>
    </row>
    <row r="299" spans="1:70" ht="13.2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26"/>
      <c r="BC299" s="15"/>
      <c r="BR299" s="15"/>
    </row>
    <row r="300" spans="1:70" ht="13.2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26"/>
      <c r="BC300" s="15"/>
      <c r="BR300" s="15"/>
    </row>
    <row r="301" spans="1:70" ht="13.2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26"/>
      <c r="BC301" s="15"/>
      <c r="BR301" s="15"/>
    </row>
    <row r="302" spans="1:70" ht="13.2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26"/>
      <c r="BC302" s="15"/>
      <c r="BR302" s="15"/>
    </row>
    <row r="303" spans="1:70" ht="13.2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26"/>
      <c r="BC303" s="15"/>
      <c r="BR303" s="15"/>
    </row>
    <row r="304" spans="1:70" ht="13.2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26"/>
      <c r="BC304" s="15"/>
      <c r="BR304" s="15"/>
    </row>
    <row r="305" spans="1:70" ht="13.2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26"/>
      <c r="BC305" s="15"/>
      <c r="BR305" s="15"/>
    </row>
    <row r="306" spans="1:70" ht="13.2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26"/>
      <c r="BC306" s="15"/>
      <c r="BR306" s="15"/>
    </row>
    <row r="307" spans="1:70" ht="13.2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26"/>
      <c r="BC307" s="15"/>
      <c r="BR307" s="15"/>
    </row>
    <row r="308" spans="1:70" ht="13.2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26"/>
      <c r="BC308" s="15"/>
      <c r="BR308" s="15"/>
    </row>
    <row r="309" spans="1:70" ht="13.2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26"/>
      <c r="BC309" s="15"/>
      <c r="BR309" s="15"/>
    </row>
    <row r="310" spans="1:70" ht="13.2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26"/>
      <c r="BC310" s="15"/>
      <c r="BR310" s="15"/>
    </row>
    <row r="311" spans="1:70" ht="13.2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26"/>
      <c r="BC311" s="15"/>
      <c r="BR311" s="15"/>
    </row>
    <row r="312" spans="1:70" ht="13.2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26"/>
      <c r="BC312" s="15"/>
      <c r="BR312" s="15"/>
    </row>
    <row r="313" spans="1:70" ht="13.2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26"/>
      <c r="BC313" s="15"/>
      <c r="BR313" s="15"/>
    </row>
    <row r="314" spans="1:70" ht="13.2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26"/>
      <c r="BC314" s="15"/>
      <c r="BR314" s="15"/>
    </row>
    <row r="315" spans="1:70" ht="13.2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26"/>
      <c r="BC315" s="15"/>
      <c r="BR315" s="15"/>
    </row>
    <row r="316" spans="1:70" ht="13.2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26"/>
      <c r="BC316" s="15"/>
      <c r="BR316" s="15"/>
    </row>
    <row r="317" spans="1:70" ht="13.2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26"/>
      <c r="BC317" s="15"/>
      <c r="BR317" s="15"/>
    </row>
    <row r="318" spans="1:70" ht="13.2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26"/>
      <c r="BC318" s="15"/>
      <c r="BR318" s="15"/>
    </row>
    <row r="319" spans="1:70" ht="13.2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26"/>
      <c r="BC319" s="15"/>
      <c r="BR319" s="15"/>
    </row>
    <row r="320" spans="1:70" ht="13.2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26"/>
      <c r="BC320" s="15"/>
      <c r="BR320" s="15"/>
    </row>
    <row r="321" spans="1:70" ht="13.2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26"/>
      <c r="BC321" s="15"/>
      <c r="BR321" s="15"/>
    </row>
    <row r="322" spans="1:70" ht="13.2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26"/>
      <c r="BC322" s="15"/>
      <c r="BR322" s="15"/>
    </row>
    <row r="323" spans="1:70" ht="13.2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26"/>
      <c r="BC323" s="15"/>
      <c r="BR323" s="15"/>
    </row>
    <row r="324" spans="1:70" ht="13.2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26"/>
      <c r="BC324" s="15"/>
      <c r="BR324" s="15"/>
    </row>
    <row r="325" spans="1:70" ht="13.2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26"/>
      <c r="BC325" s="15"/>
      <c r="BR325" s="15"/>
    </row>
    <row r="326" spans="1:70" ht="13.2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26"/>
      <c r="BC326" s="15"/>
      <c r="BR326" s="15"/>
    </row>
    <row r="327" spans="1:70" ht="13.2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26"/>
      <c r="BC327" s="15"/>
      <c r="BR327" s="15"/>
    </row>
    <row r="328" spans="1:70" ht="13.2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26"/>
      <c r="BC328" s="15"/>
      <c r="BR328" s="15"/>
    </row>
    <row r="329" spans="1:70" ht="13.2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26"/>
      <c r="BC329" s="15"/>
      <c r="BR329" s="15"/>
    </row>
    <row r="330" spans="1:70" ht="13.2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26"/>
      <c r="BC330" s="15"/>
      <c r="BR330" s="15"/>
    </row>
    <row r="331" spans="1:70" ht="13.2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26"/>
      <c r="BC331" s="15"/>
      <c r="BR331" s="15"/>
    </row>
    <row r="332" spans="1:70" ht="13.2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26"/>
      <c r="BC332" s="15"/>
      <c r="BR332" s="15"/>
    </row>
    <row r="333" spans="1:70" ht="13.2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26"/>
      <c r="BC333" s="15"/>
      <c r="BR333" s="15"/>
    </row>
    <row r="334" spans="1:70" ht="13.2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26"/>
      <c r="BC334" s="15"/>
      <c r="BR334" s="15"/>
    </row>
    <row r="335" spans="1:70" ht="13.2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26"/>
      <c r="BC335" s="15"/>
      <c r="BR335" s="15"/>
    </row>
    <row r="336" spans="1:70" ht="13.2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26"/>
      <c r="BC336" s="15"/>
      <c r="BR336" s="15"/>
    </row>
    <row r="337" spans="1:70" ht="13.2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26"/>
      <c r="BC337" s="15"/>
      <c r="BR337" s="15"/>
    </row>
    <row r="338" spans="1:70" ht="13.2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26"/>
      <c r="BC338" s="15"/>
      <c r="BR338" s="15"/>
    </row>
    <row r="339" spans="1:70" ht="13.2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26"/>
      <c r="BC339" s="15"/>
      <c r="BR339" s="15"/>
    </row>
    <row r="340" spans="1:70" ht="13.2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26"/>
      <c r="BC340" s="15"/>
      <c r="BR340" s="15"/>
    </row>
    <row r="341" spans="1:70" ht="13.2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26"/>
      <c r="BC341" s="15"/>
      <c r="BR341" s="15"/>
    </row>
    <row r="342" spans="1:70" ht="13.2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26"/>
      <c r="BC342" s="15"/>
      <c r="BR342" s="15"/>
    </row>
    <row r="343" spans="1:70" ht="13.2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26"/>
      <c r="BC343" s="15"/>
      <c r="BR343" s="15"/>
    </row>
    <row r="344" spans="1:70" ht="13.2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26"/>
      <c r="BC344" s="15"/>
      <c r="BR344" s="15"/>
    </row>
    <row r="345" spans="1:70" ht="13.2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26"/>
      <c r="BC345" s="15"/>
      <c r="BR345" s="15"/>
    </row>
    <row r="346" spans="1:70" ht="13.2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26"/>
      <c r="BC346" s="15"/>
      <c r="BR346" s="15"/>
    </row>
    <row r="347" spans="1:70" ht="13.2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26"/>
      <c r="BC347" s="15"/>
      <c r="BR347" s="15"/>
    </row>
    <row r="348" spans="1:70" ht="13.2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26"/>
      <c r="BC348" s="15"/>
      <c r="BR348" s="15"/>
    </row>
    <row r="349" spans="1:70" ht="13.2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26"/>
      <c r="BC349" s="15"/>
      <c r="BR349" s="15"/>
    </row>
    <row r="350" spans="1:70" ht="13.2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26"/>
      <c r="BC350" s="15"/>
      <c r="BR350" s="15"/>
    </row>
    <row r="351" spans="1:70" ht="13.2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26"/>
      <c r="BC351" s="15"/>
      <c r="BR351" s="15"/>
    </row>
    <row r="352" spans="1:70" ht="13.2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26"/>
      <c r="BC352" s="15"/>
      <c r="BR352" s="15"/>
    </row>
    <row r="353" spans="1:70" ht="13.2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26"/>
      <c r="BC353" s="15"/>
      <c r="BR353" s="15"/>
    </row>
    <row r="354" spans="1:70" ht="13.2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26"/>
      <c r="BC354" s="15"/>
      <c r="BR354" s="15"/>
    </row>
    <row r="355" spans="1:70" ht="13.2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26"/>
      <c r="BC355" s="15"/>
      <c r="BR355" s="15"/>
    </row>
    <row r="356" spans="1:70" ht="13.2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26"/>
      <c r="BC356" s="15"/>
      <c r="BR356" s="15"/>
    </row>
    <row r="357" spans="1:70" ht="13.2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26"/>
      <c r="BC357" s="15"/>
      <c r="BR357" s="15"/>
    </row>
    <row r="358" spans="1:70" ht="13.2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26"/>
      <c r="BC358" s="15"/>
      <c r="BR358" s="15"/>
    </row>
    <row r="359" spans="1:70" ht="13.2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26"/>
      <c r="BC359" s="15"/>
      <c r="BR359" s="15"/>
    </row>
    <row r="360" spans="1:70" ht="13.2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26"/>
      <c r="BC360" s="15"/>
      <c r="BR360" s="15"/>
    </row>
    <row r="361" spans="1:70" ht="13.2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26"/>
      <c r="BC361" s="15"/>
      <c r="BR361" s="15"/>
    </row>
    <row r="362" spans="1:70" ht="13.2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26"/>
      <c r="BC362" s="15"/>
      <c r="BR362" s="15"/>
    </row>
    <row r="363" spans="1:70" ht="13.2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26"/>
      <c r="BC363" s="15"/>
      <c r="BR363" s="15"/>
    </row>
    <row r="364" spans="1:70" ht="13.2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26"/>
      <c r="BC364" s="15"/>
      <c r="BR364" s="15"/>
    </row>
    <row r="365" spans="1:70" ht="13.2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26"/>
      <c r="BC365" s="15"/>
      <c r="BR365" s="15"/>
    </row>
    <row r="366" spans="1:70" ht="13.2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26"/>
      <c r="BC366" s="15"/>
      <c r="BR366" s="15"/>
    </row>
    <row r="367" spans="1:70" ht="13.2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26"/>
      <c r="BC367" s="15"/>
      <c r="BR367" s="15"/>
    </row>
    <row r="368" spans="1:70" ht="13.2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26"/>
      <c r="BC368" s="15"/>
      <c r="BR368" s="15"/>
    </row>
    <row r="369" spans="1:70" ht="13.2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26"/>
      <c r="BC369" s="15"/>
      <c r="BR369" s="15"/>
    </row>
    <row r="370" spans="1:70" ht="13.2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26"/>
      <c r="BC370" s="15"/>
      <c r="BR370" s="15"/>
    </row>
    <row r="371" spans="1:70" ht="13.2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26"/>
      <c r="BC371" s="15"/>
      <c r="BR371" s="15"/>
    </row>
    <row r="372" spans="1:70" ht="13.2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26"/>
      <c r="BC372" s="15"/>
      <c r="BR372" s="15"/>
    </row>
    <row r="373" spans="1:70" ht="13.2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26"/>
      <c r="BC373" s="15"/>
      <c r="BR373" s="15"/>
    </row>
    <row r="374" spans="1:70" ht="13.2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26"/>
      <c r="BC374" s="15"/>
      <c r="BR374" s="15"/>
    </row>
    <row r="375" spans="1:70" ht="13.2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26"/>
      <c r="BC375" s="15"/>
      <c r="BR375" s="15"/>
    </row>
    <row r="376" spans="1:70" ht="13.2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26"/>
      <c r="BC376" s="15"/>
      <c r="BR376" s="15"/>
    </row>
    <row r="377" spans="1:70" ht="13.2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26"/>
      <c r="BC377" s="15"/>
      <c r="BR377" s="15"/>
    </row>
    <row r="378" spans="1:70" ht="13.2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26"/>
      <c r="BC378" s="15"/>
      <c r="BR378" s="15"/>
    </row>
    <row r="379" spans="1:70" ht="13.2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26"/>
      <c r="BC379" s="15"/>
      <c r="BR379" s="15"/>
    </row>
    <row r="380" spans="1:70" ht="13.2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26"/>
      <c r="BC380" s="15"/>
      <c r="BR380" s="15"/>
    </row>
    <row r="381" spans="1:70" ht="13.2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26"/>
      <c r="BC381" s="15"/>
      <c r="BR381" s="15"/>
    </row>
    <row r="382" spans="1:70" ht="13.2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26"/>
      <c r="BC382" s="15"/>
      <c r="BR382" s="15"/>
    </row>
    <row r="383" spans="1:70" ht="13.2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26"/>
      <c r="BC383" s="15"/>
      <c r="BR383" s="15"/>
    </row>
    <row r="384" spans="1:70" ht="13.2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26"/>
      <c r="BC384" s="15"/>
      <c r="BR384" s="15"/>
    </row>
    <row r="385" spans="1:70" ht="13.2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26"/>
      <c r="BC385" s="15"/>
      <c r="BR385" s="15"/>
    </row>
    <row r="386" spans="1:70" ht="13.2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26"/>
      <c r="BC386" s="15"/>
      <c r="BR386" s="15"/>
    </row>
    <row r="387" spans="1:70" ht="13.2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26"/>
      <c r="BC387" s="15"/>
      <c r="BR387" s="15"/>
    </row>
    <row r="388" spans="1:70" ht="13.2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26"/>
      <c r="BC388" s="15"/>
      <c r="BR388" s="15"/>
    </row>
    <row r="389" spans="1:70" ht="13.2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26"/>
      <c r="BC389" s="15"/>
      <c r="BR389" s="15"/>
    </row>
    <row r="390" spans="1:70" ht="13.2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26"/>
      <c r="BC390" s="15"/>
      <c r="BR390" s="15"/>
    </row>
    <row r="391" spans="1:70" ht="13.2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26"/>
      <c r="BC391" s="15"/>
      <c r="BR391" s="15"/>
    </row>
    <row r="392" spans="1:70" ht="13.2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26"/>
      <c r="BC392" s="15"/>
      <c r="BR392" s="15"/>
    </row>
    <row r="393" spans="1:70" ht="13.2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26"/>
      <c r="BC393" s="15"/>
      <c r="BR393" s="15"/>
    </row>
    <row r="394" spans="1:70" ht="13.2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26"/>
      <c r="BC394" s="15"/>
      <c r="BR394" s="15"/>
    </row>
    <row r="395" spans="1:70" ht="13.2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26"/>
      <c r="BC395" s="15"/>
      <c r="BR395" s="15"/>
    </row>
    <row r="396" spans="1:70" ht="13.2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26"/>
      <c r="BC396" s="15"/>
      <c r="BR396" s="15"/>
    </row>
    <row r="397" spans="1:70" ht="13.2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26"/>
      <c r="BC397" s="15"/>
      <c r="BR397" s="15"/>
    </row>
    <row r="398" spans="1:70" ht="13.2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26"/>
      <c r="BC398" s="15"/>
      <c r="BR398" s="15"/>
    </row>
    <row r="399" spans="1:70" ht="13.2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26"/>
      <c r="BC399" s="15"/>
      <c r="BR399" s="15"/>
    </row>
    <row r="400" spans="1:70" ht="13.2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26"/>
      <c r="BC400" s="15"/>
      <c r="BR400" s="15"/>
    </row>
    <row r="401" spans="1:70" ht="13.2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26"/>
      <c r="BC401" s="15"/>
      <c r="BR401" s="15"/>
    </row>
    <row r="402" spans="1:70" ht="13.2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26"/>
      <c r="BC402" s="15"/>
      <c r="BR402" s="15"/>
    </row>
    <row r="403" spans="1:70" ht="13.2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26"/>
      <c r="BC403" s="15"/>
      <c r="BR403" s="15"/>
    </row>
    <row r="404" spans="1:70" ht="13.2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26"/>
      <c r="BC404" s="15"/>
      <c r="BR404" s="15"/>
    </row>
    <row r="405" spans="1:70" ht="13.2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26"/>
      <c r="BC405" s="15"/>
      <c r="BR405" s="15"/>
    </row>
    <row r="406" spans="1:70" ht="13.2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26"/>
      <c r="BC406" s="15"/>
      <c r="BR406" s="15"/>
    </row>
    <row r="407" spans="1:70" ht="13.2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26"/>
      <c r="BC407" s="15"/>
      <c r="BR407" s="15"/>
    </row>
    <row r="408" spans="1:70" ht="13.2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26"/>
      <c r="BC408" s="15"/>
      <c r="BR408" s="15"/>
    </row>
    <row r="409" spans="1:70" ht="13.2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26"/>
      <c r="BC409" s="15"/>
      <c r="BR409" s="15"/>
    </row>
    <row r="410" spans="1:70" ht="13.2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26"/>
      <c r="BC410" s="15"/>
      <c r="BR410" s="15"/>
    </row>
    <row r="411" spans="1:70" ht="13.2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26"/>
      <c r="BC411" s="15"/>
      <c r="BR411" s="15"/>
    </row>
    <row r="412" spans="1:70" ht="13.2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26"/>
      <c r="BC412" s="15"/>
      <c r="BR412" s="15"/>
    </row>
    <row r="413" spans="1:70" ht="13.2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26"/>
      <c r="BC413" s="15"/>
      <c r="BR413" s="15"/>
    </row>
    <row r="414" spans="1:70" ht="13.2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26"/>
      <c r="BC414" s="15"/>
      <c r="BR414" s="15"/>
    </row>
    <row r="415" spans="1:70" ht="13.2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26"/>
      <c r="BC415" s="15"/>
      <c r="BR415" s="15"/>
    </row>
    <row r="416" spans="1:70" ht="13.2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26"/>
      <c r="BC416" s="15"/>
      <c r="BR416" s="15"/>
    </row>
    <row r="417" spans="1:70" ht="13.2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26"/>
      <c r="BC417" s="15"/>
      <c r="BR417" s="15"/>
    </row>
    <row r="418" spans="1:70" ht="13.2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26"/>
      <c r="BC418" s="15"/>
      <c r="BR418" s="15"/>
    </row>
    <row r="419" spans="1:70" ht="13.2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26"/>
      <c r="BC419" s="15"/>
      <c r="BR419" s="15"/>
    </row>
    <row r="420" spans="1:70" ht="13.2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26"/>
      <c r="BC420" s="15"/>
      <c r="BR420" s="15"/>
    </row>
    <row r="421" spans="1:70" ht="13.2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26"/>
      <c r="BC421" s="15"/>
      <c r="BR421" s="15"/>
    </row>
    <row r="422" spans="1:70" ht="13.2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26"/>
      <c r="BC422" s="15"/>
      <c r="BR422" s="15"/>
    </row>
    <row r="423" spans="1:70" ht="13.2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26"/>
      <c r="BC423" s="15"/>
      <c r="BR423" s="15"/>
    </row>
    <row r="424" spans="1:70" ht="13.2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26"/>
      <c r="BC424" s="15"/>
      <c r="BR424" s="15"/>
    </row>
    <row r="425" spans="1:70" ht="13.2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26"/>
      <c r="BC425" s="15"/>
      <c r="BR425" s="15"/>
    </row>
    <row r="426" spans="1:70" ht="13.2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26"/>
      <c r="BC426" s="15"/>
      <c r="BR426" s="15"/>
    </row>
    <row r="427" spans="1:70" ht="13.2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26"/>
      <c r="BC427" s="15"/>
      <c r="BR427" s="15"/>
    </row>
    <row r="428" spans="1:70" ht="13.2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26"/>
      <c r="BC428" s="15"/>
      <c r="BR428" s="15"/>
    </row>
    <row r="429" spans="1:70" ht="13.2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26"/>
      <c r="BC429" s="15"/>
      <c r="BR429" s="15"/>
    </row>
    <row r="430" spans="1:70" ht="13.2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26"/>
      <c r="BC430" s="15"/>
      <c r="BR430" s="15"/>
    </row>
    <row r="431" spans="1:70" ht="13.2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26"/>
      <c r="BC431" s="15"/>
      <c r="BR431" s="15"/>
    </row>
    <row r="432" spans="1:70" ht="13.2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26"/>
      <c r="BC432" s="15"/>
      <c r="BR432" s="15"/>
    </row>
    <row r="433" spans="1:70" ht="13.2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26"/>
      <c r="BC433" s="15"/>
      <c r="BR433" s="15"/>
    </row>
    <row r="434" spans="1:70" ht="13.2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26"/>
      <c r="BC434" s="15"/>
      <c r="BR434" s="15"/>
    </row>
    <row r="435" spans="1:70" ht="13.2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26"/>
      <c r="BC435" s="15"/>
      <c r="BR435" s="15"/>
    </row>
    <row r="436" spans="1:70" ht="13.2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26"/>
      <c r="BC436" s="15"/>
      <c r="BR436" s="15"/>
    </row>
    <row r="437" spans="1:70" ht="13.2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26"/>
      <c r="BC437" s="15"/>
      <c r="BR437" s="15"/>
    </row>
    <row r="438" spans="1:70" ht="13.2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26"/>
      <c r="BC438" s="15"/>
      <c r="BR438" s="15"/>
    </row>
    <row r="439" spans="1:70" ht="13.2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26"/>
      <c r="BC439" s="15"/>
      <c r="BR439" s="15"/>
    </row>
    <row r="440" spans="1:70" ht="13.2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26"/>
      <c r="BC440" s="15"/>
      <c r="BR440" s="15"/>
    </row>
    <row r="441" spans="1:70" ht="13.2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26"/>
      <c r="BC441" s="15"/>
      <c r="BR441" s="15"/>
    </row>
    <row r="442" spans="1:70" ht="13.2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26"/>
      <c r="BC442" s="15"/>
      <c r="BR442" s="15"/>
    </row>
    <row r="443" spans="1:70" ht="13.2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26"/>
      <c r="BC443" s="15"/>
      <c r="BR443" s="15"/>
    </row>
    <row r="444" spans="1:70" ht="13.2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26"/>
      <c r="BC444" s="15"/>
      <c r="BR444" s="15"/>
    </row>
    <row r="445" spans="1:70" ht="13.2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26"/>
      <c r="BC445" s="15"/>
      <c r="BR445" s="15"/>
    </row>
    <row r="446" spans="1:70" ht="13.2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26"/>
      <c r="BC446" s="15"/>
      <c r="BR446" s="15"/>
    </row>
    <row r="447" spans="1:70" ht="13.2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26"/>
      <c r="BC447" s="15"/>
      <c r="BR447" s="15"/>
    </row>
    <row r="448" spans="1:70" ht="13.2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26"/>
      <c r="BC448" s="15"/>
      <c r="BR448" s="15"/>
    </row>
    <row r="449" spans="1:70" ht="13.2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26"/>
      <c r="BC449" s="15"/>
      <c r="BR449" s="15"/>
    </row>
    <row r="450" spans="1:70" ht="13.2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26"/>
      <c r="BC450" s="15"/>
      <c r="BR450" s="15"/>
    </row>
    <row r="451" spans="1:70" ht="13.2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26"/>
      <c r="BC451" s="15"/>
      <c r="BR451" s="15"/>
    </row>
    <row r="452" spans="1:70" ht="13.2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26"/>
      <c r="BC452" s="15"/>
      <c r="BR452" s="15"/>
    </row>
    <row r="453" spans="1:70" ht="13.2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26"/>
      <c r="BC453" s="15"/>
      <c r="BR453" s="15"/>
    </row>
    <row r="454" spans="1:70" ht="13.2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26"/>
      <c r="BC454" s="15"/>
      <c r="BR454" s="15"/>
    </row>
    <row r="455" spans="1:70" ht="13.2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26"/>
      <c r="BC455" s="15"/>
      <c r="BR455" s="15"/>
    </row>
    <row r="456" spans="1:70" ht="13.2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26"/>
      <c r="BC456" s="15"/>
      <c r="BR456" s="15"/>
    </row>
    <row r="457" spans="1:70" ht="13.2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26"/>
      <c r="BC457" s="15"/>
      <c r="BR457" s="15"/>
    </row>
    <row r="458" spans="1:70" ht="13.2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26"/>
      <c r="BC458" s="15"/>
      <c r="BR458" s="15"/>
    </row>
    <row r="459" spans="1:70" ht="13.2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26"/>
      <c r="BC459" s="15"/>
      <c r="BR459" s="15"/>
    </row>
    <row r="460" spans="1:70" ht="13.2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26"/>
      <c r="BC460" s="15"/>
      <c r="BR460" s="15"/>
    </row>
    <row r="461" spans="1:70" ht="13.2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26"/>
      <c r="BC461" s="15"/>
      <c r="BR461" s="15"/>
    </row>
    <row r="462" spans="1:70" ht="13.2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26"/>
      <c r="BC462" s="15"/>
      <c r="BR462" s="15"/>
    </row>
    <row r="463" spans="1:70" ht="13.2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26"/>
      <c r="BC463" s="15"/>
      <c r="BR463" s="15"/>
    </row>
    <row r="464" spans="1:70" ht="13.2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26"/>
      <c r="BC464" s="15"/>
      <c r="BR464" s="15"/>
    </row>
    <row r="465" spans="1:70" ht="13.2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26"/>
      <c r="BC465" s="15"/>
      <c r="BR465" s="15"/>
    </row>
    <row r="466" spans="1:70" ht="13.2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26"/>
      <c r="BC466" s="15"/>
      <c r="BR466" s="15"/>
    </row>
    <row r="467" spans="1:70" ht="13.2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26"/>
      <c r="BC467" s="15"/>
      <c r="BR467" s="15"/>
    </row>
    <row r="468" spans="1:70" ht="13.2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26"/>
      <c r="BC468" s="15"/>
      <c r="BR468" s="15"/>
    </row>
    <row r="469" spans="1:70" ht="13.2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26"/>
      <c r="BC469" s="15"/>
      <c r="BR469" s="15"/>
    </row>
    <row r="470" spans="1:70" ht="13.2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26"/>
      <c r="BC470" s="15"/>
      <c r="BR470" s="15"/>
    </row>
    <row r="471" spans="1:70" ht="13.2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26"/>
      <c r="BC471" s="15"/>
      <c r="BR471" s="15"/>
    </row>
    <row r="472" spans="1:70" ht="13.2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26"/>
      <c r="BC472" s="15"/>
      <c r="BR472" s="15"/>
    </row>
    <row r="473" spans="1:70" ht="13.2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26"/>
      <c r="BC473" s="15"/>
      <c r="BR473" s="15"/>
    </row>
    <row r="474" spans="1:70" ht="13.2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26"/>
      <c r="BC474" s="15"/>
      <c r="BR474" s="15"/>
    </row>
    <row r="475" spans="1:70" ht="13.2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26"/>
      <c r="BC475" s="15"/>
      <c r="BR475" s="15"/>
    </row>
    <row r="476" spans="1:70" ht="13.2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26"/>
      <c r="BC476" s="15"/>
      <c r="BR476" s="15"/>
    </row>
    <row r="477" spans="1:70" ht="13.2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26"/>
      <c r="BC477" s="15"/>
      <c r="BR477" s="15"/>
    </row>
    <row r="478" spans="1:70" ht="13.2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26"/>
      <c r="BC478" s="15"/>
      <c r="BR478" s="15"/>
    </row>
    <row r="479" spans="1:70" ht="13.2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26"/>
      <c r="BC479" s="15"/>
      <c r="BR479" s="15"/>
    </row>
    <row r="480" spans="1:70" ht="13.2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26"/>
      <c r="BC480" s="15"/>
      <c r="BR480" s="15"/>
    </row>
    <row r="481" spans="1:70" ht="13.2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26"/>
      <c r="BC481" s="15"/>
      <c r="BR481" s="15"/>
    </row>
    <row r="482" spans="1:70" ht="13.2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26"/>
      <c r="BC482" s="15"/>
      <c r="BR482" s="15"/>
    </row>
    <row r="483" spans="1:70" ht="13.2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26"/>
      <c r="BC483" s="15"/>
      <c r="BR483" s="15"/>
    </row>
    <row r="484" spans="1:70" ht="13.2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26"/>
      <c r="BC484" s="15"/>
      <c r="BR484" s="15"/>
    </row>
    <row r="485" spans="1:70" ht="13.2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26"/>
      <c r="BC485" s="15"/>
      <c r="BR485" s="15"/>
    </row>
    <row r="486" spans="1:70" ht="13.2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26"/>
      <c r="BC486" s="15"/>
      <c r="BR486" s="15"/>
    </row>
    <row r="487" spans="1:70" ht="13.2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26"/>
      <c r="BC487" s="15"/>
      <c r="BR487" s="15"/>
    </row>
    <row r="488" spans="1:70" ht="13.2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26"/>
      <c r="BC488" s="15"/>
      <c r="BR488" s="15"/>
    </row>
    <row r="489" spans="1:70" ht="13.2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26"/>
      <c r="BC489" s="15"/>
      <c r="BR489" s="15"/>
    </row>
    <row r="490" spans="1:70" ht="13.2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26"/>
      <c r="BC490" s="15"/>
      <c r="BR490" s="15"/>
    </row>
    <row r="491" spans="1:70" ht="13.2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26"/>
      <c r="BC491" s="15"/>
      <c r="BR491" s="15"/>
    </row>
    <row r="492" spans="1:70" ht="13.2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26"/>
      <c r="BC492" s="15"/>
      <c r="BR492" s="15"/>
    </row>
    <row r="493" spans="1:70" ht="13.2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26"/>
      <c r="BC493" s="15"/>
      <c r="BR493" s="15"/>
    </row>
    <row r="494" spans="1:70" ht="13.2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26"/>
      <c r="BC494" s="15"/>
      <c r="BR494" s="15"/>
    </row>
    <row r="495" spans="1:70" ht="13.2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26"/>
      <c r="BC495" s="15"/>
      <c r="BR495" s="15"/>
    </row>
    <row r="496" spans="1:70" ht="13.2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26"/>
      <c r="BC496" s="15"/>
      <c r="BR496" s="15"/>
    </row>
    <row r="497" spans="1:70" ht="13.2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26"/>
      <c r="BC497" s="15"/>
      <c r="BR497" s="15"/>
    </row>
    <row r="498" spans="1:70" ht="13.2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26"/>
      <c r="BC498" s="15"/>
      <c r="BR498" s="15"/>
    </row>
    <row r="499" spans="1:70" ht="13.2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26"/>
      <c r="BC499" s="15"/>
      <c r="BR499" s="15"/>
    </row>
    <row r="500" spans="1:70" ht="13.2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26"/>
      <c r="BC500" s="15"/>
      <c r="BR500" s="15"/>
    </row>
    <row r="501" spans="1:70" ht="13.2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26"/>
      <c r="BC501" s="15"/>
      <c r="BR501" s="15"/>
    </row>
    <row r="502" spans="1:70" ht="13.2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26"/>
      <c r="BC502" s="15"/>
      <c r="BR502" s="15"/>
    </row>
    <row r="503" spans="1:70" ht="13.2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26"/>
      <c r="BC503" s="15"/>
      <c r="BR503" s="15"/>
    </row>
    <row r="504" spans="1:70" ht="13.2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26"/>
      <c r="BC504" s="15"/>
      <c r="BR504" s="15"/>
    </row>
    <row r="505" spans="1:70" ht="13.2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26"/>
      <c r="BC505" s="15"/>
      <c r="BR505" s="15"/>
    </row>
    <row r="506" spans="1:70" ht="13.2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26"/>
      <c r="BC506" s="15"/>
      <c r="BR506" s="15"/>
    </row>
    <row r="507" spans="1:70" ht="13.2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26"/>
      <c r="BC507" s="15"/>
      <c r="BR507" s="15"/>
    </row>
    <row r="508" spans="1:70" ht="13.2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26"/>
      <c r="BC508" s="15"/>
      <c r="BR508" s="15"/>
    </row>
    <row r="509" spans="1:70" ht="13.2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26"/>
      <c r="BC509" s="15"/>
      <c r="BR509" s="15"/>
    </row>
    <row r="510" spans="1:70" ht="13.2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26"/>
      <c r="BC510" s="15"/>
      <c r="BR510" s="15"/>
    </row>
    <row r="511" spans="1:70" ht="13.2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26"/>
      <c r="BC511" s="15"/>
      <c r="BR511" s="15"/>
    </row>
    <row r="512" spans="1:70" ht="13.2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26"/>
      <c r="BC512" s="15"/>
      <c r="BR512" s="15"/>
    </row>
    <row r="513" spans="1:70" ht="13.2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26"/>
      <c r="BC513" s="15"/>
      <c r="BR513" s="15"/>
    </row>
    <row r="514" spans="1:70" ht="13.2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26"/>
      <c r="BC514" s="15"/>
      <c r="BR514" s="15"/>
    </row>
    <row r="515" spans="1:70" ht="13.2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26"/>
      <c r="BC515" s="15"/>
      <c r="BR515" s="15"/>
    </row>
    <row r="516" spans="1:70" ht="13.2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26"/>
      <c r="BC516" s="15"/>
      <c r="BR516" s="15"/>
    </row>
    <row r="517" spans="1:70" ht="13.2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26"/>
      <c r="BC517" s="15"/>
      <c r="BR517" s="15"/>
    </row>
    <row r="518" spans="1:70" ht="13.2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26"/>
      <c r="BC518" s="15"/>
      <c r="BR518" s="15"/>
    </row>
    <row r="519" spans="1:70" ht="13.2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26"/>
      <c r="BC519" s="15"/>
      <c r="BR519" s="15"/>
    </row>
    <row r="520" spans="1:70" ht="13.2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26"/>
      <c r="BC520" s="15"/>
      <c r="BR520" s="15"/>
    </row>
    <row r="521" spans="1:70" ht="13.2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26"/>
      <c r="BC521" s="15"/>
      <c r="BR521" s="15"/>
    </row>
    <row r="522" spans="1:70" ht="13.2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26"/>
      <c r="BC522" s="15"/>
      <c r="BR522" s="15"/>
    </row>
    <row r="523" spans="1:70" ht="13.2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26"/>
      <c r="BC523" s="15"/>
      <c r="BR523" s="15"/>
    </row>
    <row r="524" spans="1:70" ht="13.2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26"/>
      <c r="BC524" s="15"/>
      <c r="BR524" s="15"/>
    </row>
    <row r="525" spans="1:70" ht="13.2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26"/>
      <c r="BC525" s="15"/>
      <c r="BR525" s="15"/>
    </row>
    <row r="526" spans="1:70" ht="13.2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26"/>
      <c r="BC526" s="15"/>
      <c r="BR526" s="15"/>
    </row>
    <row r="527" spans="1:70" ht="13.2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26"/>
      <c r="BC527" s="15"/>
      <c r="BR527" s="15"/>
    </row>
    <row r="528" spans="1:70" ht="13.2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26"/>
      <c r="BC528" s="15"/>
      <c r="BR528" s="15"/>
    </row>
    <row r="529" spans="1:70" ht="13.2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26"/>
      <c r="BC529" s="15"/>
      <c r="BR529" s="15"/>
    </row>
    <row r="530" spans="1:70" ht="13.2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26"/>
      <c r="BC530" s="15"/>
      <c r="BR530" s="15"/>
    </row>
    <row r="531" spans="1:70" ht="13.2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26"/>
      <c r="BC531" s="15"/>
      <c r="BR531" s="15"/>
    </row>
    <row r="532" spans="1:70" ht="13.2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26"/>
      <c r="BC532" s="15"/>
      <c r="BR532" s="15"/>
    </row>
    <row r="533" spans="1:70" ht="13.2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26"/>
      <c r="BC533" s="15"/>
      <c r="BR533" s="15"/>
    </row>
    <row r="534" spans="1:70" ht="13.2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26"/>
      <c r="BC534" s="15"/>
      <c r="BR534" s="15"/>
    </row>
    <row r="535" spans="1:70" ht="13.2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26"/>
      <c r="BC535" s="15"/>
      <c r="BR535" s="15"/>
    </row>
    <row r="536" spans="1:70" ht="13.2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26"/>
      <c r="BC536" s="15"/>
      <c r="BR536" s="15"/>
    </row>
    <row r="537" spans="1:70" ht="13.2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26"/>
      <c r="BC537" s="15"/>
      <c r="BR537" s="15"/>
    </row>
    <row r="538" spans="1:70" ht="13.2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26"/>
      <c r="BC538" s="15"/>
      <c r="BR538" s="15"/>
    </row>
    <row r="539" spans="1:70" ht="13.2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26"/>
      <c r="BC539" s="15"/>
      <c r="BR539" s="15"/>
    </row>
    <row r="540" spans="1:70" ht="13.2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26"/>
      <c r="BC540" s="15"/>
      <c r="BR540" s="15"/>
    </row>
    <row r="541" spans="1:70" ht="13.2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26"/>
      <c r="BC541" s="15"/>
      <c r="BR541" s="15"/>
    </row>
    <row r="542" spans="1:70" ht="13.2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26"/>
      <c r="BC542" s="15"/>
      <c r="BR542" s="15"/>
    </row>
    <row r="543" spans="1:70" ht="13.2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26"/>
      <c r="BC543" s="15"/>
      <c r="BR543" s="15"/>
    </row>
    <row r="544" spans="1:70" ht="13.2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26"/>
      <c r="BC544" s="15"/>
      <c r="BR544" s="15"/>
    </row>
    <row r="545" spans="1:70" ht="13.2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26"/>
      <c r="BC545" s="15"/>
      <c r="BR545" s="15"/>
    </row>
    <row r="546" spans="1:70" ht="13.2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26"/>
      <c r="BC546" s="15"/>
      <c r="BR546" s="15"/>
    </row>
    <row r="547" spans="1:70" ht="13.2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26"/>
      <c r="BC547" s="15"/>
      <c r="BR547" s="15"/>
    </row>
    <row r="548" spans="1:70" ht="13.2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26"/>
      <c r="BC548" s="15"/>
      <c r="BR548" s="15"/>
    </row>
    <row r="549" spans="1:70" ht="13.2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26"/>
      <c r="BC549" s="15"/>
      <c r="BR549" s="15"/>
    </row>
    <row r="550" spans="1:70" ht="13.2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26"/>
      <c r="BC550" s="15"/>
      <c r="BR550" s="15"/>
    </row>
    <row r="551" spans="1:70" ht="13.2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26"/>
      <c r="BC551" s="15"/>
      <c r="BR551" s="15"/>
    </row>
    <row r="552" spans="1:70" ht="13.2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26"/>
      <c r="BC552" s="15"/>
      <c r="BR552" s="15"/>
    </row>
    <row r="553" spans="1:70" ht="13.2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26"/>
      <c r="BC553" s="15"/>
      <c r="BR553" s="15"/>
    </row>
    <row r="554" spans="1:70" ht="13.2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26"/>
      <c r="BC554" s="15"/>
      <c r="BR554" s="15"/>
    </row>
    <row r="555" spans="1:70" ht="13.2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26"/>
      <c r="BC555" s="15"/>
      <c r="BR555" s="15"/>
    </row>
    <row r="556" spans="1:70" ht="13.2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26"/>
      <c r="BC556" s="15"/>
      <c r="BR556" s="15"/>
    </row>
    <row r="557" spans="1:70" ht="13.2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26"/>
      <c r="BC557" s="15"/>
      <c r="BR557" s="15"/>
    </row>
    <row r="558" spans="1:70" ht="13.2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26"/>
      <c r="BC558" s="15"/>
      <c r="BR558" s="15"/>
    </row>
    <row r="559" spans="1:70" ht="13.2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26"/>
      <c r="BC559" s="15"/>
      <c r="BR559" s="15"/>
    </row>
    <row r="560" spans="1:70" ht="13.2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26"/>
      <c r="BC560" s="15"/>
      <c r="BR560" s="15"/>
    </row>
    <row r="561" spans="1:70" ht="13.2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26"/>
      <c r="BC561" s="15"/>
      <c r="BR561" s="15"/>
    </row>
    <row r="562" spans="1:70" ht="13.2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26"/>
      <c r="BC562" s="15"/>
      <c r="BR562" s="15"/>
    </row>
    <row r="563" spans="1:70" ht="13.2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26"/>
      <c r="BC563" s="15"/>
      <c r="BR563" s="15"/>
    </row>
    <row r="564" spans="1:70" ht="13.2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26"/>
      <c r="BC564" s="15"/>
      <c r="BR564" s="15"/>
    </row>
    <row r="565" spans="1:70" ht="13.2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26"/>
      <c r="BC565" s="15"/>
      <c r="BR565" s="15"/>
    </row>
    <row r="566" spans="1:70" ht="13.2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26"/>
      <c r="BC566" s="15"/>
      <c r="BR566" s="15"/>
    </row>
    <row r="567" spans="1:70" ht="13.2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26"/>
      <c r="BC567" s="15"/>
      <c r="BR567" s="15"/>
    </row>
    <row r="568" spans="1:70" ht="13.2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26"/>
      <c r="BC568" s="15"/>
      <c r="BR568" s="15"/>
    </row>
    <row r="569" spans="1:70" ht="13.2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26"/>
      <c r="BC569" s="15"/>
      <c r="BR569" s="15"/>
    </row>
    <row r="570" spans="1:70" ht="13.2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26"/>
      <c r="BC570" s="15"/>
      <c r="BR570" s="15"/>
    </row>
    <row r="571" spans="1:70" ht="13.2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26"/>
      <c r="BC571" s="15"/>
      <c r="BR571" s="15"/>
    </row>
    <row r="572" spans="1:70" ht="13.2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26"/>
      <c r="BC572" s="15"/>
      <c r="BR572" s="15"/>
    </row>
    <row r="573" spans="1:70" ht="13.2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26"/>
      <c r="BC573" s="15"/>
      <c r="BR573" s="15"/>
    </row>
    <row r="574" spans="1:70" ht="13.2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26"/>
      <c r="BC574" s="15"/>
      <c r="BR574" s="15"/>
    </row>
    <row r="575" spans="1:70" ht="13.2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26"/>
      <c r="BC575" s="15"/>
      <c r="BR575" s="15"/>
    </row>
    <row r="576" spans="1:70" ht="13.2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26"/>
      <c r="BC576" s="15"/>
      <c r="BR576" s="15"/>
    </row>
    <row r="577" spans="1:70" ht="13.2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26"/>
      <c r="BC577" s="15"/>
      <c r="BR577" s="15"/>
    </row>
    <row r="578" spans="1:70" ht="13.2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26"/>
      <c r="BC578" s="15"/>
      <c r="BR578" s="15"/>
    </row>
    <row r="579" spans="1:70" ht="13.2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26"/>
      <c r="BC579" s="15"/>
      <c r="BR579" s="15"/>
    </row>
    <row r="580" spans="1:70" ht="13.2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26"/>
      <c r="BC580" s="15"/>
      <c r="BR580" s="15"/>
    </row>
    <row r="581" spans="1:70" ht="13.2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26"/>
      <c r="BC581" s="15"/>
      <c r="BR581" s="15"/>
    </row>
    <row r="582" spans="1:70" ht="13.2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26"/>
      <c r="BC582" s="15"/>
      <c r="BR582" s="15"/>
    </row>
    <row r="583" spans="1:70" ht="13.2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26"/>
      <c r="BC583" s="15"/>
      <c r="BR583" s="15"/>
    </row>
    <row r="584" spans="1:70" ht="13.2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26"/>
      <c r="BC584" s="15"/>
      <c r="BR584" s="15"/>
    </row>
    <row r="585" spans="1:70" ht="13.2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26"/>
      <c r="BC585" s="15"/>
      <c r="BR585" s="15"/>
    </row>
    <row r="586" spans="1:70" ht="13.2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26"/>
      <c r="BC586" s="15"/>
      <c r="BR586" s="15"/>
    </row>
    <row r="587" spans="1:70" ht="13.2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26"/>
      <c r="BC587" s="15"/>
      <c r="BR587" s="15"/>
    </row>
    <row r="588" spans="1:70" ht="13.2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26"/>
      <c r="BC588" s="15"/>
      <c r="BR588" s="15"/>
    </row>
    <row r="589" spans="1:70" ht="13.2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26"/>
      <c r="BC589" s="15"/>
      <c r="BR589" s="15"/>
    </row>
    <row r="590" spans="1:70" ht="13.2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26"/>
      <c r="BC590" s="15"/>
      <c r="BR590" s="15"/>
    </row>
    <row r="591" spans="1:70" ht="13.2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26"/>
      <c r="BC591" s="15"/>
      <c r="BR591" s="15"/>
    </row>
    <row r="592" spans="1:70" ht="13.2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26"/>
      <c r="BC592" s="15"/>
      <c r="BR592" s="15"/>
    </row>
    <row r="593" spans="1:70" ht="13.2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26"/>
      <c r="BC593" s="15"/>
      <c r="BR593" s="15"/>
    </row>
    <row r="594" spans="1:70" ht="13.2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26"/>
      <c r="BC594" s="15"/>
      <c r="BR594" s="15"/>
    </row>
    <row r="595" spans="1:70" ht="13.2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26"/>
      <c r="BC595" s="15"/>
      <c r="BR595" s="15"/>
    </row>
    <row r="596" spans="1:70" ht="13.2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26"/>
      <c r="BC596" s="15"/>
      <c r="BR596" s="15"/>
    </row>
    <row r="597" spans="1:70" ht="13.2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26"/>
      <c r="BC597" s="15"/>
      <c r="BR597" s="15"/>
    </row>
    <row r="598" spans="1:70" ht="13.2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26"/>
      <c r="BC598" s="15"/>
      <c r="BR598" s="15"/>
    </row>
    <row r="599" spans="1:70" ht="13.2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26"/>
      <c r="BC599" s="15"/>
      <c r="BR599" s="15"/>
    </row>
    <row r="600" spans="1:70" ht="13.2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26"/>
      <c r="BC600" s="15"/>
      <c r="BR600" s="15"/>
    </row>
    <row r="601" spans="1:70" ht="13.2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26"/>
      <c r="BC601" s="15"/>
      <c r="BR601" s="15"/>
    </row>
    <row r="602" spans="1:70" ht="13.2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26"/>
      <c r="BC602" s="15"/>
      <c r="BR602" s="15"/>
    </row>
    <row r="603" spans="1:70" ht="13.2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26"/>
      <c r="BC603" s="15"/>
      <c r="BR603" s="15"/>
    </row>
    <row r="604" spans="1:70" ht="13.2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26"/>
      <c r="BC604" s="15"/>
      <c r="BR604" s="15"/>
    </row>
    <row r="605" spans="1:70" ht="13.2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26"/>
      <c r="BC605" s="15"/>
      <c r="BR605" s="15"/>
    </row>
    <row r="606" spans="1:70" ht="13.2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26"/>
      <c r="BC606" s="15"/>
      <c r="BR606" s="15"/>
    </row>
    <row r="607" spans="1:70" ht="13.2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26"/>
      <c r="BC607" s="15"/>
      <c r="BR607" s="15"/>
    </row>
    <row r="608" spans="1:70" ht="13.2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26"/>
      <c r="BC608" s="15"/>
      <c r="BR608" s="15"/>
    </row>
    <row r="609" spans="1:70" ht="13.2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26"/>
      <c r="BC609" s="15"/>
      <c r="BR609" s="15"/>
    </row>
    <row r="610" spans="1:70" ht="13.2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26"/>
      <c r="BC610" s="15"/>
      <c r="BR610" s="15"/>
    </row>
    <row r="611" spans="1:70" ht="13.2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26"/>
      <c r="BC611" s="15"/>
      <c r="BR611" s="15"/>
    </row>
    <row r="612" spans="1:70" ht="13.2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26"/>
      <c r="BC612" s="15"/>
      <c r="BR612" s="15"/>
    </row>
    <row r="613" spans="1:70" ht="13.2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26"/>
      <c r="BC613" s="15"/>
      <c r="BR613" s="15"/>
    </row>
    <row r="614" spans="1:70" ht="13.2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26"/>
      <c r="BC614" s="15"/>
      <c r="BR614" s="15"/>
    </row>
    <row r="615" spans="1:70" ht="13.2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26"/>
      <c r="BC615" s="15"/>
      <c r="BR615" s="15"/>
    </row>
    <row r="616" spans="1:70" ht="13.2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26"/>
      <c r="BC616" s="15"/>
      <c r="BR616" s="15"/>
    </row>
    <row r="617" spans="1:70" ht="13.2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26"/>
      <c r="BC617" s="15"/>
      <c r="BR617" s="15"/>
    </row>
    <row r="618" spans="1:70" ht="13.2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26"/>
      <c r="BC618" s="15"/>
      <c r="BR618" s="15"/>
    </row>
    <row r="619" spans="1:70" ht="13.2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26"/>
      <c r="BC619" s="15"/>
      <c r="BR619" s="15"/>
    </row>
    <row r="620" spans="1:70" ht="13.2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26"/>
      <c r="BC620" s="15"/>
      <c r="BR620" s="15"/>
    </row>
    <row r="621" spans="1:70" ht="13.2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26"/>
      <c r="BC621" s="15"/>
      <c r="BR621" s="15"/>
    </row>
    <row r="622" spans="1:70" ht="13.2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26"/>
      <c r="BC622" s="15"/>
      <c r="BR622" s="15"/>
    </row>
    <row r="623" spans="1:70" ht="13.2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26"/>
      <c r="BC623" s="15"/>
      <c r="BR623" s="15"/>
    </row>
    <row r="624" spans="1:70" ht="13.2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26"/>
      <c r="BC624" s="15"/>
      <c r="BR624" s="15"/>
    </row>
    <row r="625" spans="1:70" ht="13.2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26"/>
      <c r="BC625" s="15"/>
      <c r="BR625" s="15"/>
    </row>
    <row r="626" spans="1:70" ht="13.2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26"/>
      <c r="BC626" s="15"/>
      <c r="BR626" s="15"/>
    </row>
    <row r="627" spans="1:70" ht="13.2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26"/>
      <c r="BC627" s="15"/>
      <c r="BR627" s="15"/>
    </row>
    <row r="628" spans="1:70" ht="13.2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26"/>
      <c r="BC628" s="15"/>
      <c r="BR628" s="15"/>
    </row>
    <row r="629" spans="1:70" ht="13.2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26"/>
      <c r="BC629" s="15"/>
      <c r="BR629" s="15"/>
    </row>
    <row r="630" spans="1:70" ht="13.2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26"/>
      <c r="BC630" s="15"/>
      <c r="BR630" s="15"/>
    </row>
    <row r="631" spans="1:70" ht="13.2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26"/>
      <c r="BC631" s="15"/>
      <c r="BR631" s="15"/>
    </row>
    <row r="632" spans="1:70" ht="13.2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26"/>
      <c r="BC632" s="15"/>
      <c r="BR632" s="15"/>
    </row>
    <row r="633" spans="1:70" ht="13.2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26"/>
      <c r="BC633" s="15"/>
      <c r="BR633" s="15"/>
    </row>
    <row r="634" spans="1:70" ht="13.2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26"/>
      <c r="BC634" s="15"/>
      <c r="BR634" s="15"/>
    </row>
    <row r="635" spans="1:70" ht="13.2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26"/>
      <c r="BC635" s="15"/>
      <c r="BR635" s="15"/>
    </row>
    <row r="636" spans="1:70" ht="13.2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26"/>
      <c r="BC636" s="15"/>
      <c r="BR636" s="15"/>
    </row>
    <row r="637" spans="1:70" ht="13.2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26"/>
      <c r="BC637" s="15"/>
      <c r="BR637" s="15"/>
    </row>
    <row r="638" spans="1:70" ht="13.2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26"/>
      <c r="BC638" s="15"/>
      <c r="BR638" s="15"/>
    </row>
    <row r="639" spans="1:70" ht="13.2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26"/>
      <c r="BC639" s="15"/>
      <c r="BR639" s="15"/>
    </row>
    <row r="640" spans="1:70" ht="13.2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26"/>
      <c r="BC640" s="15"/>
      <c r="BR640" s="15"/>
    </row>
    <row r="641" spans="1:70" ht="13.2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26"/>
      <c r="BC641" s="15"/>
      <c r="BR641" s="15"/>
    </row>
    <row r="642" spans="1:70" ht="13.2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26"/>
      <c r="BC642" s="15"/>
      <c r="BR642" s="15"/>
    </row>
    <row r="643" spans="1:70" ht="13.2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26"/>
      <c r="BC643" s="15"/>
      <c r="BR643" s="15"/>
    </row>
    <row r="644" spans="1:70" ht="13.2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26"/>
      <c r="BC644" s="15"/>
      <c r="BR644" s="15"/>
    </row>
    <row r="645" spans="1:70" ht="13.2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26"/>
      <c r="BC645" s="15"/>
      <c r="BR645" s="15"/>
    </row>
    <row r="646" spans="1:70" ht="13.2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26"/>
      <c r="BC646" s="15"/>
      <c r="BR646" s="15"/>
    </row>
    <row r="647" spans="1:70" ht="13.2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26"/>
      <c r="BC647" s="15"/>
      <c r="BR647" s="15"/>
    </row>
    <row r="648" spans="1:70" ht="13.2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26"/>
      <c r="BC648" s="15"/>
      <c r="BR648" s="15"/>
    </row>
    <row r="649" spans="1:70" ht="13.2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26"/>
      <c r="BC649" s="15"/>
      <c r="BR649" s="15"/>
    </row>
    <row r="650" spans="1:70" ht="13.2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26"/>
      <c r="BC650" s="15"/>
      <c r="BR650" s="15"/>
    </row>
    <row r="651" spans="1:70" ht="13.2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26"/>
      <c r="BC651" s="15"/>
      <c r="BR651" s="15"/>
    </row>
    <row r="652" spans="1:70" ht="13.2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26"/>
      <c r="BC652" s="15"/>
      <c r="BR652" s="15"/>
    </row>
    <row r="653" spans="1:70" ht="13.2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26"/>
      <c r="BC653" s="15"/>
      <c r="BR653" s="15"/>
    </row>
    <row r="654" spans="1:70" ht="13.2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26"/>
      <c r="BC654" s="15"/>
      <c r="BR654" s="15"/>
    </row>
    <row r="655" spans="1:70" ht="13.2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26"/>
      <c r="BC655" s="15"/>
      <c r="BR655" s="15"/>
    </row>
    <row r="656" spans="1:70" ht="13.2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26"/>
      <c r="BC656" s="15"/>
      <c r="BR656" s="15"/>
    </row>
    <row r="657" spans="1:70" ht="13.2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26"/>
      <c r="BC657" s="15"/>
      <c r="BR657" s="15"/>
    </row>
    <row r="658" spans="1:70" ht="13.2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26"/>
      <c r="BC658" s="15"/>
      <c r="BR658" s="15"/>
    </row>
    <row r="659" spans="1:70" ht="13.2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26"/>
      <c r="BC659" s="15"/>
      <c r="BR659" s="15"/>
    </row>
    <row r="660" spans="1:70" ht="13.2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26"/>
      <c r="BC660" s="15"/>
      <c r="BR660" s="15"/>
    </row>
    <row r="661" spans="1:70" ht="13.2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26"/>
      <c r="BC661" s="15"/>
      <c r="BR661" s="15"/>
    </row>
    <row r="662" spans="1:70" ht="13.2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26"/>
      <c r="BC662" s="15"/>
      <c r="BR662" s="15"/>
    </row>
    <row r="663" spans="1:70" ht="13.2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26"/>
      <c r="BC663" s="15"/>
      <c r="BR663" s="15"/>
    </row>
    <row r="664" spans="1:70" ht="13.2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26"/>
      <c r="BC664" s="15"/>
      <c r="BR664" s="15"/>
    </row>
    <row r="665" spans="1:70" ht="13.2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26"/>
      <c r="BC665" s="15"/>
      <c r="BR665" s="15"/>
    </row>
    <row r="666" spans="1:70" ht="13.2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26"/>
      <c r="BC666" s="15"/>
      <c r="BR666" s="15"/>
    </row>
    <row r="667" spans="1:70" ht="13.2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26"/>
      <c r="BC667" s="15"/>
      <c r="BR667" s="15"/>
    </row>
    <row r="668" spans="1:70" ht="13.2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26"/>
      <c r="BC668" s="15"/>
      <c r="BR668" s="15"/>
    </row>
    <row r="669" spans="1:70" ht="13.2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26"/>
      <c r="BC669" s="15"/>
      <c r="BR669" s="15"/>
    </row>
    <row r="670" spans="1:70" ht="13.2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26"/>
      <c r="BC670" s="15"/>
      <c r="BR670" s="15"/>
    </row>
    <row r="671" spans="1:70" ht="13.2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26"/>
      <c r="BC671" s="15"/>
      <c r="BR671" s="15"/>
    </row>
    <row r="672" spans="1:70" ht="13.2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26"/>
      <c r="BC672" s="15"/>
      <c r="BR672" s="15"/>
    </row>
    <row r="673" spans="1:70" ht="13.2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26"/>
      <c r="BC673" s="15"/>
      <c r="BR673" s="15"/>
    </row>
    <row r="674" spans="1:70" ht="13.2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26"/>
      <c r="BC674" s="15"/>
      <c r="BR674" s="15"/>
    </row>
    <row r="675" spans="1:70" ht="13.2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26"/>
      <c r="BC675" s="15"/>
      <c r="BR675" s="15"/>
    </row>
    <row r="676" spans="1:70" ht="13.2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26"/>
      <c r="BC676" s="15"/>
      <c r="BR676" s="15"/>
    </row>
    <row r="677" spans="1:70" ht="13.2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26"/>
      <c r="BC677" s="15"/>
      <c r="BR677" s="15"/>
    </row>
    <row r="678" spans="1:70" ht="13.2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26"/>
      <c r="BC678" s="15"/>
      <c r="BR678" s="15"/>
    </row>
    <row r="679" spans="1:70" ht="13.2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26"/>
      <c r="BC679" s="15"/>
      <c r="BR679" s="15"/>
    </row>
    <row r="680" spans="1:70" ht="13.2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26"/>
      <c r="BC680" s="15"/>
      <c r="BR680" s="15"/>
    </row>
    <row r="681" spans="1:70" ht="13.2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26"/>
      <c r="BC681" s="15"/>
      <c r="BR681" s="15"/>
    </row>
    <row r="682" spans="1:70" ht="13.2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26"/>
      <c r="BC682" s="15"/>
      <c r="BR682" s="15"/>
    </row>
    <row r="683" spans="1:70" ht="13.2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26"/>
      <c r="BC683" s="15"/>
      <c r="BR683" s="15"/>
    </row>
    <row r="684" spans="1:70" ht="13.2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26"/>
      <c r="BC684" s="15"/>
      <c r="BR684" s="15"/>
    </row>
    <row r="685" spans="1:70" ht="13.2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26"/>
      <c r="BC685" s="15"/>
      <c r="BR685" s="15"/>
    </row>
    <row r="686" spans="1:70" ht="13.2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26"/>
      <c r="BC686" s="15"/>
      <c r="BR686" s="15"/>
    </row>
    <row r="687" spans="1:70" ht="13.2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26"/>
      <c r="BC687" s="15"/>
      <c r="BR687" s="15"/>
    </row>
    <row r="688" spans="1:70" ht="13.2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26"/>
      <c r="BC688" s="15"/>
      <c r="BR688" s="15"/>
    </row>
    <row r="689" spans="1:70" ht="13.2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26"/>
      <c r="BC689" s="15"/>
      <c r="BR689" s="15"/>
    </row>
    <row r="690" spans="1:70" ht="13.2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26"/>
      <c r="BC690" s="15"/>
      <c r="BR690" s="15"/>
    </row>
    <row r="691" spans="1:70" ht="13.2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26"/>
      <c r="BC691" s="15"/>
      <c r="BR691" s="15"/>
    </row>
    <row r="692" spans="1:70" ht="13.2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26"/>
      <c r="BC692" s="15"/>
      <c r="BR692" s="15"/>
    </row>
    <row r="693" spans="1:70" ht="13.2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26"/>
      <c r="BC693" s="15"/>
      <c r="BR693" s="15"/>
    </row>
    <row r="694" spans="1:70" ht="13.2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26"/>
      <c r="BC694" s="15"/>
      <c r="BR694" s="15"/>
    </row>
    <row r="695" spans="1:70" ht="13.2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26"/>
      <c r="BC695" s="15"/>
      <c r="BR695" s="15"/>
    </row>
    <row r="696" spans="1:70" ht="13.2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26"/>
      <c r="BC696" s="15"/>
      <c r="BR696" s="15"/>
    </row>
    <row r="697" spans="1:70" ht="13.2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26"/>
      <c r="BC697" s="15"/>
      <c r="BR697" s="15"/>
    </row>
    <row r="698" spans="1:70" ht="13.2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26"/>
      <c r="BC698" s="15"/>
      <c r="BR698" s="15"/>
    </row>
    <row r="699" spans="1:70" ht="13.2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26"/>
      <c r="BC699" s="15"/>
      <c r="BR699" s="15"/>
    </row>
    <row r="700" spans="1:70" ht="13.2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26"/>
      <c r="BC700" s="15"/>
      <c r="BR700" s="15"/>
    </row>
    <row r="701" spans="1:70" ht="13.2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26"/>
      <c r="BC701" s="15"/>
      <c r="BR701" s="15"/>
    </row>
    <row r="702" spans="1:70" ht="13.2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26"/>
      <c r="BC702" s="15"/>
      <c r="BR702" s="15"/>
    </row>
    <row r="703" spans="1:70" ht="13.2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26"/>
      <c r="BC703" s="15"/>
      <c r="BR703" s="15"/>
    </row>
    <row r="704" spans="1:70" ht="13.2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26"/>
      <c r="BC704" s="15"/>
      <c r="BR704" s="15"/>
    </row>
    <row r="705" spans="1:70" ht="13.2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26"/>
      <c r="BC705" s="15"/>
      <c r="BR705" s="15"/>
    </row>
    <row r="706" spans="1:70" ht="13.2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26"/>
      <c r="BC706" s="15"/>
      <c r="BR706" s="15"/>
    </row>
    <row r="707" spans="1:70" ht="13.2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26"/>
      <c r="BC707" s="15"/>
      <c r="BR707" s="15"/>
    </row>
    <row r="708" spans="1:70" ht="13.2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26"/>
      <c r="BC708" s="15"/>
      <c r="BR708" s="15"/>
    </row>
    <row r="709" spans="1:70" ht="13.2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26"/>
      <c r="BC709" s="15"/>
      <c r="BR709" s="15"/>
    </row>
    <row r="710" spans="1:70" ht="13.2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26"/>
      <c r="BC710" s="15"/>
      <c r="BR710" s="15"/>
    </row>
    <row r="711" spans="1:70" ht="13.2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26"/>
      <c r="BC711" s="15"/>
      <c r="BR711" s="15"/>
    </row>
    <row r="712" spans="1:70" ht="13.2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26"/>
      <c r="BC712" s="15"/>
      <c r="BR712" s="15"/>
    </row>
    <row r="713" spans="1:70" ht="13.2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26"/>
      <c r="BC713" s="15"/>
      <c r="BR713" s="15"/>
    </row>
    <row r="714" spans="1:70" ht="13.2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26"/>
      <c r="BC714" s="15"/>
      <c r="BR714" s="15"/>
    </row>
    <row r="715" spans="1:70" ht="13.2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26"/>
      <c r="BC715" s="15"/>
      <c r="BR715" s="15"/>
    </row>
    <row r="716" spans="1:70" ht="13.2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26"/>
      <c r="BC716" s="15"/>
      <c r="BR716" s="15"/>
    </row>
    <row r="717" spans="1:70" ht="13.2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26"/>
      <c r="BC717" s="15"/>
      <c r="BR717" s="15"/>
    </row>
    <row r="718" spans="1:70" ht="13.2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26"/>
      <c r="BC718" s="15"/>
      <c r="BR718" s="15"/>
    </row>
    <row r="719" spans="1:70" ht="13.2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26"/>
      <c r="BC719" s="15"/>
      <c r="BR719" s="15"/>
    </row>
    <row r="720" spans="1:70" ht="13.2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26"/>
      <c r="BC720" s="15"/>
      <c r="BR720" s="15"/>
    </row>
    <row r="721" spans="1:70" ht="13.2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26"/>
      <c r="BC721" s="15"/>
      <c r="BR721" s="15"/>
    </row>
    <row r="722" spans="1:70" ht="13.2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26"/>
      <c r="BC722" s="15"/>
      <c r="BR722" s="15"/>
    </row>
    <row r="723" spans="1:70" ht="13.2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26"/>
      <c r="BC723" s="15"/>
      <c r="BR723" s="15"/>
    </row>
    <row r="724" spans="1:70" ht="13.2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26"/>
      <c r="BC724" s="15"/>
      <c r="BR724" s="15"/>
    </row>
    <row r="725" spans="1:70" ht="13.2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26"/>
      <c r="BC725" s="15"/>
      <c r="BR725" s="15"/>
    </row>
    <row r="726" spans="1:70" ht="13.2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26"/>
      <c r="BC726" s="15"/>
      <c r="BR726" s="15"/>
    </row>
    <row r="727" spans="1:70" ht="13.2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26"/>
      <c r="BC727" s="15"/>
      <c r="BR727" s="15"/>
    </row>
    <row r="728" spans="1:70" ht="13.2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26"/>
      <c r="BC728" s="15"/>
      <c r="BR728" s="15"/>
    </row>
    <row r="729" spans="1:70" ht="13.2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26"/>
      <c r="BC729" s="15"/>
      <c r="BR729" s="15"/>
    </row>
    <row r="730" spans="1:70" ht="13.2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26"/>
      <c r="BC730" s="15"/>
      <c r="BR730" s="15"/>
    </row>
    <row r="731" spans="1:70" ht="13.2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26"/>
      <c r="BC731" s="15"/>
      <c r="BR731" s="15"/>
    </row>
    <row r="732" spans="1:70" ht="13.2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26"/>
      <c r="BC732" s="15"/>
      <c r="BR732" s="15"/>
    </row>
    <row r="733" spans="1:70" ht="13.2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26"/>
      <c r="BC733" s="15"/>
      <c r="BR733" s="15"/>
    </row>
    <row r="734" spans="1:70" ht="13.2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26"/>
      <c r="BC734" s="15"/>
      <c r="BR734" s="15"/>
    </row>
    <row r="735" spans="1:70" ht="13.2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26"/>
      <c r="BC735" s="15"/>
      <c r="BR735" s="15"/>
    </row>
    <row r="736" spans="1:70" ht="13.2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26"/>
      <c r="BC736" s="15"/>
      <c r="BR736" s="15"/>
    </row>
    <row r="737" spans="1:70" ht="13.2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26"/>
      <c r="BC737" s="15"/>
      <c r="BR737" s="15"/>
    </row>
    <row r="738" spans="1:70" ht="13.2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26"/>
      <c r="BC738" s="15"/>
      <c r="BR738" s="15"/>
    </row>
    <row r="739" spans="1:70" ht="13.2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26"/>
      <c r="BC739" s="15"/>
      <c r="BR739" s="15"/>
    </row>
    <row r="740" spans="1:70" ht="13.2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26"/>
      <c r="BC740" s="15"/>
      <c r="BR740" s="15"/>
    </row>
    <row r="741" spans="1:70" ht="13.2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26"/>
      <c r="BC741" s="15"/>
      <c r="BR741" s="15"/>
    </row>
    <row r="742" spans="1:70" ht="13.2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26"/>
      <c r="BC742" s="15"/>
      <c r="BR742" s="15"/>
    </row>
    <row r="743" spans="1:70" ht="13.2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26"/>
      <c r="BC743" s="15"/>
      <c r="BR743" s="15"/>
    </row>
    <row r="744" spans="1:70" ht="13.2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26"/>
      <c r="BC744" s="15"/>
      <c r="BR744" s="15"/>
    </row>
    <row r="745" spans="1:70" ht="13.2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26"/>
      <c r="BC745" s="15"/>
      <c r="BR745" s="15"/>
    </row>
    <row r="746" spans="1:70" ht="13.2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26"/>
      <c r="BC746" s="15"/>
      <c r="BR746" s="15"/>
    </row>
    <row r="747" spans="1:70" ht="13.2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26"/>
      <c r="BC747" s="15"/>
      <c r="BR747" s="15"/>
    </row>
    <row r="748" spans="1:70" ht="13.2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26"/>
      <c r="BC748" s="15"/>
      <c r="BR748" s="15"/>
    </row>
    <row r="749" spans="1:70" ht="13.2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26"/>
      <c r="BC749" s="15"/>
      <c r="BR749" s="15"/>
    </row>
    <row r="750" spans="1:70" ht="13.2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26"/>
      <c r="BC750" s="15"/>
      <c r="BR750" s="15"/>
    </row>
    <row r="751" spans="1:70" ht="13.2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26"/>
      <c r="BC751" s="15"/>
      <c r="BR751" s="15"/>
    </row>
    <row r="752" spans="1:70" ht="13.2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26"/>
      <c r="BC752" s="15"/>
      <c r="BR752" s="15"/>
    </row>
    <row r="753" spans="1:70" ht="13.2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26"/>
      <c r="BC753" s="15"/>
      <c r="BR753" s="15"/>
    </row>
    <row r="754" spans="1:70" ht="13.2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26"/>
      <c r="BC754" s="15"/>
      <c r="BR754" s="15"/>
    </row>
    <row r="755" spans="1:70" ht="13.2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26"/>
      <c r="BC755" s="15"/>
      <c r="BR755" s="15"/>
    </row>
    <row r="756" spans="1:70" ht="13.2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26"/>
      <c r="BC756" s="15"/>
      <c r="BR756" s="15"/>
    </row>
    <row r="757" spans="1:70" ht="13.2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26"/>
      <c r="BC757" s="15"/>
      <c r="BR757" s="15"/>
    </row>
    <row r="758" spans="1:70" ht="13.2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26"/>
      <c r="BC758" s="15"/>
      <c r="BR758" s="15"/>
    </row>
    <row r="759" spans="1:70" ht="13.2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26"/>
      <c r="BC759" s="15"/>
      <c r="BR759" s="15"/>
    </row>
    <row r="760" spans="1:70" ht="13.2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26"/>
      <c r="BC760" s="15"/>
      <c r="BR760" s="15"/>
    </row>
    <row r="761" spans="1:70" ht="13.2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26"/>
      <c r="BC761" s="15"/>
      <c r="BR761" s="15"/>
    </row>
    <row r="762" spans="1:70" ht="13.2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26"/>
      <c r="BC762" s="15"/>
      <c r="BR762" s="15"/>
    </row>
    <row r="763" spans="1:70" ht="13.2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26"/>
      <c r="BC763" s="15"/>
      <c r="BR763" s="15"/>
    </row>
    <row r="764" spans="1:70" ht="13.2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26"/>
      <c r="BC764" s="15"/>
      <c r="BR764" s="15"/>
    </row>
    <row r="765" spans="1:70" ht="13.2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26"/>
      <c r="BC765" s="15"/>
      <c r="BR765" s="15"/>
    </row>
    <row r="766" spans="1:70" ht="13.2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26"/>
      <c r="BC766" s="15"/>
      <c r="BR766" s="15"/>
    </row>
    <row r="767" spans="1:70" ht="13.2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26"/>
      <c r="BC767" s="15"/>
      <c r="BR767" s="15"/>
    </row>
    <row r="768" spans="1:70" ht="13.2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26"/>
      <c r="BC768" s="15"/>
      <c r="BR768" s="15"/>
    </row>
    <row r="769" spans="1:70" ht="13.2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26"/>
      <c r="BC769" s="15"/>
      <c r="BR769" s="15"/>
    </row>
    <row r="770" spans="1:70" ht="13.2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26"/>
      <c r="BC770" s="15"/>
      <c r="BR770" s="15"/>
    </row>
    <row r="771" spans="1:70" ht="13.2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26"/>
      <c r="BC771" s="15"/>
      <c r="BR771" s="15"/>
    </row>
    <row r="772" spans="1:70" ht="13.2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26"/>
      <c r="BC772" s="15"/>
      <c r="BR772" s="15"/>
    </row>
    <row r="773" spans="1:70" ht="13.2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26"/>
      <c r="BC773" s="15"/>
      <c r="BR773" s="15"/>
    </row>
    <row r="774" spans="1:70" ht="13.2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26"/>
      <c r="BC774" s="15"/>
      <c r="BR774" s="15"/>
    </row>
    <row r="775" spans="1:70" ht="13.2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26"/>
      <c r="BC775" s="15"/>
      <c r="BR775" s="15"/>
    </row>
    <row r="776" spans="1:70" ht="13.2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26"/>
      <c r="BC776" s="15"/>
      <c r="BR776" s="15"/>
    </row>
    <row r="777" spans="1:70" ht="13.2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26"/>
      <c r="BC777" s="15"/>
      <c r="BR777" s="15"/>
    </row>
    <row r="778" spans="1:70" ht="13.2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26"/>
      <c r="BC778" s="15"/>
      <c r="BR778" s="15"/>
    </row>
    <row r="779" spans="1:70" ht="13.2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26"/>
      <c r="BC779" s="15"/>
      <c r="BR779" s="15"/>
    </row>
    <row r="780" spans="1:70" ht="13.2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26"/>
      <c r="BC780" s="15"/>
      <c r="BR780" s="15"/>
    </row>
    <row r="781" spans="1:70" ht="13.2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26"/>
      <c r="BC781" s="15"/>
      <c r="BR781" s="15"/>
    </row>
    <row r="782" spans="1:70" ht="13.2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26"/>
      <c r="BC782" s="15"/>
      <c r="BR782" s="15"/>
    </row>
    <row r="783" spans="1:70" ht="13.2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26"/>
      <c r="BC783" s="15"/>
      <c r="BR783" s="15"/>
    </row>
    <row r="784" spans="1:70" ht="13.2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26"/>
      <c r="BC784" s="15"/>
      <c r="BR784" s="15"/>
    </row>
    <row r="785" spans="1:70" ht="13.2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26"/>
      <c r="BC785" s="15"/>
      <c r="BR785" s="15"/>
    </row>
    <row r="786" spans="1:70" ht="13.2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26"/>
      <c r="BC786" s="15"/>
      <c r="BR786" s="15"/>
    </row>
    <row r="787" spans="1:70" ht="13.2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26"/>
      <c r="BC787" s="15"/>
      <c r="BR787" s="15"/>
    </row>
    <row r="788" spans="1:70" ht="13.2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26"/>
      <c r="BC788" s="15"/>
      <c r="BR788" s="15"/>
    </row>
    <row r="789" spans="1:70" ht="13.2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26"/>
      <c r="BC789" s="15"/>
      <c r="BR789" s="15"/>
    </row>
    <row r="790" spans="1:70" ht="13.2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26"/>
      <c r="BC790" s="15"/>
      <c r="BR790" s="15"/>
    </row>
    <row r="791" spans="1:70" ht="13.2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26"/>
      <c r="BC791" s="15"/>
      <c r="BR791" s="15"/>
    </row>
    <row r="792" spans="1:70" ht="13.2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26"/>
      <c r="BC792" s="15"/>
      <c r="BR792" s="15"/>
    </row>
    <row r="793" spans="1:70" ht="13.2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26"/>
      <c r="BC793" s="15"/>
      <c r="BR793" s="15"/>
    </row>
    <row r="794" spans="1:70" ht="13.2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26"/>
      <c r="BC794" s="15"/>
      <c r="BR794" s="15"/>
    </row>
    <row r="795" spans="1:70" ht="13.2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26"/>
      <c r="BC795" s="15"/>
      <c r="BR795" s="15"/>
    </row>
    <row r="796" spans="1:70" ht="13.2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26"/>
      <c r="BC796" s="15"/>
      <c r="BR796" s="15"/>
    </row>
    <row r="797" spans="1:70" ht="13.2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26"/>
      <c r="BC797" s="15"/>
      <c r="BR797" s="15"/>
    </row>
    <row r="798" spans="1:70" ht="13.2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26"/>
      <c r="BC798" s="15"/>
      <c r="BR798" s="15"/>
    </row>
    <row r="799" spans="1:70" ht="13.2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26"/>
      <c r="BC799" s="15"/>
      <c r="BR799" s="15"/>
    </row>
    <row r="800" spans="1:70" ht="13.2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26"/>
      <c r="BC800" s="15"/>
      <c r="BR800" s="15"/>
    </row>
    <row r="801" spans="1:70" ht="13.2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26"/>
      <c r="BC801" s="15"/>
      <c r="BR801" s="15"/>
    </row>
    <row r="802" spans="1:70" ht="13.2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26"/>
      <c r="BC802" s="15"/>
      <c r="BR802" s="15"/>
    </row>
    <row r="803" spans="1:70" ht="13.2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26"/>
      <c r="BC803" s="15"/>
      <c r="BR803" s="15"/>
    </row>
    <row r="804" spans="1:70" ht="13.2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26"/>
      <c r="BC804" s="15"/>
      <c r="BR804" s="15"/>
    </row>
    <row r="805" spans="1:70" ht="13.2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26"/>
      <c r="BC805" s="15"/>
      <c r="BR805" s="15"/>
    </row>
    <row r="806" spans="1:70" ht="13.2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26"/>
      <c r="BC806" s="15"/>
      <c r="BR806" s="15"/>
    </row>
    <row r="807" spans="1:70" ht="13.2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26"/>
      <c r="BC807" s="15"/>
      <c r="BR807" s="15"/>
    </row>
    <row r="808" spans="1:70" ht="13.2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26"/>
      <c r="BC808" s="15"/>
      <c r="BR808" s="15"/>
    </row>
    <row r="809" spans="1:70" ht="13.2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26"/>
      <c r="BC809" s="15"/>
      <c r="BR809" s="15"/>
    </row>
    <row r="810" spans="1:70" ht="13.2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26"/>
      <c r="BC810" s="15"/>
      <c r="BR810" s="15"/>
    </row>
    <row r="811" spans="1:70" ht="13.2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26"/>
      <c r="BC811" s="15"/>
      <c r="BR811" s="15"/>
    </row>
    <row r="812" spans="1:70" ht="13.2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26"/>
      <c r="BC812" s="15"/>
      <c r="BR812" s="15"/>
    </row>
    <row r="813" spans="1:70" ht="13.2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26"/>
      <c r="BC813" s="15"/>
      <c r="BR813" s="15"/>
    </row>
    <row r="814" spans="1:70" ht="13.2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26"/>
      <c r="BC814" s="15"/>
      <c r="BR814" s="15"/>
    </row>
    <row r="815" spans="1:70" ht="13.2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26"/>
      <c r="BC815" s="15"/>
      <c r="BR815" s="15"/>
    </row>
    <row r="816" spans="1:70" ht="13.2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26"/>
      <c r="BC816" s="15"/>
      <c r="BR816" s="15"/>
    </row>
    <row r="817" spans="1:70" ht="13.2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26"/>
      <c r="BC817" s="15"/>
      <c r="BR817" s="15"/>
    </row>
    <row r="818" spans="1:70" ht="13.2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26"/>
      <c r="BC818" s="15"/>
      <c r="BR818" s="15"/>
    </row>
    <row r="819" spans="1:70" ht="13.2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26"/>
      <c r="BC819" s="15"/>
      <c r="BR819" s="15"/>
    </row>
    <row r="820" spans="1:70" ht="13.2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26"/>
      <c r="BC820" s="15"/>
      <c r="BR820" s="15"/>
    </row>
    <row r="821" spans="1:70" ht="13.2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26"/>
      <c r="BC821" s="15"/>
      <c r="BR821" s="15"/>
    </row>
    <row r="822" spans="1:70" ht="13.2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26"/>
      <c r="BC822" s="15"/>
      <c r="BR822" s="15"/>
    </row>
    <row r="823" spans="1:70" ht="13.2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26"/>
      <c r="BC823" s="15"/>
      <c r="BR823" s="15"/>
    </row>
    <row r="824" spans="1:70" ht="13.2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26"/>
      <c r="BC824" s="15"/>
      <c r="BR824" s="15"/>
    </row>
    <row r="825" spans="1:70" ht="13.2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26"/>
      <c r="BC825" s="15"/>
      <c r="BR825" s="15"/>
    </row>
    <row r="826" spans="1:70" ht="13.2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26"/>
      <c r="BC826" s="15"/>
      <c r="BR826" s="15"/>
    </row>
    <row r="827" spans="1:70" ht="13.2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26"/>
      <c r="BC827" s="15"/>
      <c r="BR827" s="15"/>
    </row>
    <row r="828" spans="1:70" ht="13.2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26"/>
      <c r="BC828" s="15"/>
      <c r="BR828" s="15"/>
    </row>
    <row r="829" spans="1:70" ht="13.2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26"/>
      <c r="BC829" s="15"/>
      <c r="BR829" s="15"/>
    </row>
    <row r="830" spans="1:70" ht="13.2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26"/>
      <c r="BC830" s="15"/>
      <c r="BR830" s="15"/>
    </row>
    <row r="831" spans="1:70" ht="13.2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26"/>
      <c r="BC831" s="15"/>
      <c r="BR831" s="15"/>
    </row>
    <row r="832" spans="1:70" ht="13.2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26"/>
      <c r="BC832" s="15"/>
      <c r="BR832" s="15"/>
    </row>
    <row r="833" spans="1:70" ht="13.2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26"/>
      <c r="BC833" s="15"/>
      <c r="BR833" s="15"/>
    </row>
    <row r="834" spans="1:70" ht="13.2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26"/>
      <c r="BC834" s="15"/>
      <c r="BR834" s="15"/>
    </row>
    <row r="835" spans="1:70" ht="13.2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26"/>
      <c r="BC835" s="15"/>
      <c r="BR835" s="15"/>
    </row>
    <row r="836" spans="1:70" ht="13.2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26"/>
      <c r="BC836" s="15"/>
      <c r="BR836" s="15"/>
    </row>
    <row r="837" spans="1:70" ht="13.2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26"/>
      <c r="BC837" s="15"/>
      <c r="BR837" s="15"/>
    </row>
    <row r="838" spans="1:70" ht="13.2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26"/>
      <c r="BC838" s="15"/>
      <c r="BR838" s="15"/>
    </row>
    <row r="839" spans="1:70" ht="13.2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26"/>
      <c r="BC839" s="15"/>
      <c r="BR839" s="15"/>
    </row>
    <row r="840" spans="1:70" ht="13.2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26"/>
      <c r="BC840" s="15"/>
      <c r="BR840" s="15"/>
    </row>
    <row r="841" spans="1:70" ht="13.2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26"/>
      <c r="BC841" s="15"/>
      <c r="BR841" s="15"/>
    </row>
    <row r="842" spans="1:70" ht="13.2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26"/>
      <c r="BC842" s="15"/>
      <c r="BR842" s="15"/>
    </row>
    <row r="843" spans="1:70" ht="13.2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26"/>
      <c r="BC843" s="15"/>
      <c r="BR843" s="15"/>
    </row>
    <row r="844" spans="1:70" ht="13.2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26"/>
      <c r="BC844" s="15"/>
      <c r="BR844" s="15"/>
    </row>
    <row r="845" spans="1:70" ht="13.2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26"/>
      <c r="BC845" s="15"/>
      <c r="BR845" s="15"/>
    </row>
    <row r="846" spans="1:70" ht="13.2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26"/>
      <c r="BC846" s="15"/>
      <c r="BR846" s="15"/>
    </row>
    <row r="847" spans="1:70" ht="13.2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26"/>
      <c r="BC847" s="15"/>
      <c r="BR847" s="15"/>
    </row>
    <row r="848" spans="1:70" ht="13.2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26"/>
      <c r="BC848" s="15"/>
      <c r="BR848" s="15"/>
    </row>
    <row r="849" spans="1:70" ht="13.2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26"/>
      <c r="BC849" s="15"/>
      <c r="BR849" s="15"/>
    </row>
    <row r="850" spans="1:70" ht="13.2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26"/>
      <c r="BC850" s="15"/>
      <c r="BR850" s="15"/>
    </row>
    <row r="851" spans="1:70" ht="13.2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26"/>
      <c r="BC851" s="15"/>
      <c r="BR851" s="15"/>
    </row>
    <row r="852" spans="1:70" ht="13.2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26"/>
      <c r="BC852" s="15"/>
      <c r="BR852" s="15"/>
    </row>
    <row r="853" spans="1:70" ht="13.2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26"/>
      <c r="BC853" s="15"/>
      <c r="BR853" s="15"/>
    </row>
    <row r="854" spans="1:70" ht="13.2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26"/>
      <c r="BC854" s="15"/>
      <c r="BR854" s="15"/>
    </row>
    <row r="855" spans="1:70" ht="13.2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26"/>
      <c r="BC855" s="15"/>
      <c r="BR855" s="15"/>
    </row>
    <row r="856" spans="1:70" ht="13.2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26"/>
      <c r="BC856" s="15"/>
      <c r="BR856" s="15"/>
    </row>
    <row r="857" spans="1:70" ht="13.2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26"/>
      <c r="BC857" s="15"/>
      <c r="BR857" s="15"/>
    </row>
    <row r="858" spans="1:70" ht="13.2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26"/>
      <c r="BC858" s="15"/>
      <c r="BR858" s="15"/>
    </row>
    <row r="859" spans="1:70" ht="13.2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26"/>
      <c r="BC859" s="15"/>
      <c r="BR859" s="15"/>
    </row>
    <row r="860" spans="1:70" ht="13.2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26"/>
      <c r="BC860" s="15"/>
      <c r="BR860" s="15"/>
    </row>
    <row r="861" spans="1:70" ht="13.2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26"/>
      <c r="BC861" s="15"/>
      <c r="BR861" s="15"/>
    </row>
    <row r="862" spans="1:70" ht="13.2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26"/>
      <c r="BC862" s="15"/>
      <c r="BR862" s="15"/>
    </row>
    <row r="863" spans="1:70" ht="13.2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26"/>
      <c r="BC863" s="15"/>
      <c r="BR863" s="15"/>
    </row>
    <row r="864" spans="1:70" ht="13.2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26"/>
      <c r="BC864" s="15"/>
      <c r="BR864" s="15"/>
    </row>
    <row r="865" spans="1:70" ht="13.2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26"/>
      <c r="BC865" s="15"/>
      <c r="BR865" s="15"/>
    </row>
    <row r="866" spans="1:70" ht="13.2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26"/>
      <c r="BC866" s="15"/>
      <c r="BR866" s="15"/>
    </row>
    <row r="867" spans="1:70" ht="13.2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26"/>
      <c r="BC867" s="15"/>
      <c r="BR867" s="15"/>
    </row>
    <row r="868" spans="1:70" ht="13.2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26"/>
      <c r="BC868" s="15"/>
      <c r="BR868" s="15"/>
    </row>
    <row r="869" spans="1:70" ht="13.2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26"/>
      <c r="BC869" s="15"/>
      <c r="BR869" s="15"/>
    </row>
    <row r="870" spans="1:70" ht="13.2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26"/>
      <c r="BC870" s="15"/>
      <c r="BR870" s="15"/>
    </row>
    <row r="871" spans="1:70" ht="13.2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26"/>
      <c r="BC871" s="15"/>
      <c r="BR871" s="15"/>
    </row>
    <row r="872" spans="1:70" ht="13.2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26"/>
      <c r="BC872" s="15"/>
      <c r="BR872" s="15"/>
    </row>
    <row r="873" spans="1:70" ht="13.2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26"/>
      <c r="BC873" s="15"/>
      <c r="BR873" s="15"/>
    </row>
    <row r="874" spans="1:70" ht="13.2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26"/>
      <c r="BC874" s="15"/>
      <c r="BR874" s="15"/>
    </row>
    <row r="875" spans="1:70" ht="13.2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26"/>
      <c r="BC875" s="15"/>
      <c r="BR875" s="15"/>
    </row>
    <row r="876" spans="1:70" ht="13.2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26"/>
      <c r="BC876" s="15"/>
      <c r="BR876" s="15"/>
    </row>
    <row r="877" spans="1:70" ht="13.2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26"/>
      <c r="BC877" s="15"/>
      <c r="BR877" s="15"/>
    </row>
    <row r="878" spans="1:70" ht="13.2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26"/>
      <c r="BC878" s="15"/>
      <c r="BR878" s="15"/>
    </row>
    <row r="879" spans="1:70" ht="13.2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26"/>
      <c r="BC879" s="15"/>
      <c r="BR879" s="15"/>
    </row>
    <row r="880" spans="1:70" ht="13.2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26"/>
      <c r="BC880" s="15"/>
      <c r="BR880" s="15"/>
    </row>
    <row r="881" spans="1:70" ht="13.2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26"/>
      <c r="BC881" s="15"/>
      <c r="BR881" s="15"/>
    </row>
    <row r="882" spans="1:70" ht="13.2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26"/>
      <c r="BC882" s="15"/>
      <c r="BR882" s="15"/>
    </row>
    <row r="883" spans="1:70" ht="13.2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26"/>
      <c r="BC883" s="15"/>
      <c r="BR883" s="15"/>
    </row>
    <row r="884" spans="1:70" ht="13.2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26"/>
      <c r="BC884" s="15"/>
      <c r="BR884" s="15"/>
    </row>
    <row r="885" spans="1:70" ht="13.2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26"/>
      <c r="BC885" s="15"/>
      <c r="BR885" s="15"/>
    </row>
    <row r="886" spans="1:70" ht="13.2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26"/>
      <c r="BC886" s="15"/>
      <c r="BR886" s="15"/>
    </row>
    <row r="887" spans="1:70" ht="13.2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26"/>
      <c r="BC887" s="15"/>
      <c r="BR887" s="15"/>
    </row>
    <row r="888" spans="1:70" ht="13.2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26"/>
      <c r="BC888" s="15"/>
      <c r="BR888" s="15"/>
    </row>
    <row r="889" spans="1:70" ht="13.2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26"/>
      <c r="BC889" s="15"/>
      <c r="BR889" s="15"/>
    </row>
    <row r="890" spans="1:70" ht="13.2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26"/>
      <c r="BC890" s="15"/>
      <c r="BR890" s="15"/>
    </row>
    <row r="891" spans="1:70" ht="13.2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26"/>
      <c r="BC891" s="15"/>
      <c r="BR891" s="15"/>
    </row>
    <row r="892" spans="1:70" ht="13.2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26"/>
      <c r="BC892" s="15"/>
      <c r="BR892" s="15"/>
    </row>
    <row r="893" spans="1:70" ht="13.2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26"/>
      <c r="BC893" s="15"/>
      <c r="BR893" s="15"/>
    </row>
    <row r="894" spans="1:70" ht="13.2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26"/>
      <c r="BC894" s="15"/>
      <c r="BR894" s="15"/>
    </row>
    <row r="895" spans="1:70" ht="13.2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26"/>
      <c r="BC895" s="15"/>
      <c r="BR895" s="15"/>
    </row>
    <row r="896" spans="1:70" ht="13.2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26"/>
      <c r="BC896" s="15"/>
      <c r="BR896" s="15"/>
    </row>
    <row r="897" spans="1:70" ht="13.2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26"/>
      <c r="BC897" s="15"/>
      <c r="BR897" s="15"/>
    </row>
    <row r="898" spans="1:70" ht="13.2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26"/>
      <c r="BC898" s="15"/>
      <c r="BR898" s="15"/>
    </row>
    <row r="899" spans="1:70" ht="13.2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26"/>
      <c r="BC899" s="15"/>
      <c r="BR899" s="15"/>
    </row>
    <row r="900" spans="1:70" ht="13.2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26"/>
      <c r="BC900" s="15"/>
      <c r="BR900" s="15"/>
    </row>
    <row r="901" spans="1:70" ht="13.2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26"/>
      <c r="BC901" s="15"/>
      <c r="BR901" s="15"/>
    </row>
    <row r="902" spans="1:70" ht="13.2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26"/>
      <c r="BC902" s="15"/>
      <c r="BR902" s="15"/>
    </row>
    <row r="903" spans="1:70" ht="13.2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26"/>
      <c r="BC903" s="15"/>
      <c r="BR903" s="15"/>
    </row>
    <row r="904" spans="1:70" ht="13.2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26"/>
      <c r="BC904" s="15"/>
      <c r="BR904" s="15"/>
    </row>
    <row r="905" spans="1:70" ht="13.2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26"/>
      <c r="BC905" s="15"/>
      <c r="BR905" s="15"/>
    </row>
    <row r="906" spans="1:70" ht="13.2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26"/>
      <c r="BC906" s="15"/>
      <c r="BR906" s="15"/>
    </row>
    <row r="907" spans="1:70" ht="13.2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26"/>
      <c r="BC907" s="15"/>
      <c r="BR907" s="15"/>
    </row>
    <row r="908" spans="1:70" ht="13.2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26"/>
      <c r="BC908" s="15"/>
      <c r="BR908" s="15"/>
    </row>
    <row r="909" spans="1:70" ht="13.2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26"/>
      <c r="BC909" s="15"/>
      <c r="BR909" s="15"/>
    </row>
    <row r="910" spans="1:70" ht="13.2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26"/>
      <c r="BC910" s="15"/>
      <c r="BR910" s="15"/>
    </row>
    <row r="911" spans="1:70" ht="13.2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26"/>
      <c r="BC911" s="15"/>
      <c r="BR911" s="15"/>
    </row>
    <row r="912" spans="1:70" ht="13.2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26"/>
      <c r="BC912" s="15"/>
      <c r="BR912" s="15"/>
    </row>
    <row r="913" spans="1:70" ht="13.2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26"/>
      <c r="BC913" s="15"/>
      <c r="BR913" s="15"/>
    </row>
    <row r="914" spans="1:70" ht="13.2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26"/>
      <c r="BC914" s="15"/>
      <c r="BR914" s="15"/>
    </row>
    <row r="915" spans="1:70" ht="13.2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26"/>
      <c r="BC915" s="15"/>
      <c r="BR915" s="15"/>
    </row>
    <row r="916" spans="1:70" ht="13.2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26"/>
      <c r="BC916" s="15"/>
      <c r="BR916" s="15"/>
    </row>
    <row r="917" spans="1:70" ht="13.2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26"/>
      <c r="BC917" s="15"/>
      <c r="BR917" s="15"/>
    </row>
    <row r="918" spans="1:70" ht="13.2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26"/>
      <c r="BC918" s="15"/>
      <c r="BR918" s="15"/>
    </row>
    <row r="919" spans="1:70" ht="13.2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26"/>
      <c r="BC919" s="15"/>
      <c r="BR919" s="15"/>
    </row>
    <row r="920" spans="1:70" ht="13.2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26"/>
      <c r="BC920" s="15"/>
      <c r="BR920" s="15"/>
    </row>
    <row r="921" spans="1:70" ht="13.2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26"/>
      <c r="BC921" s="15"/>
      <c r="BR921" s="15"/>
    </row>
    <row r="922" spans="1:70" ht="13.2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26"/>
      <c r="BC922" s="15"/>
      <c r="BR922" s="15"/>
    </row>
    <row r="923" spans="1:70" ht="13.2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26"/>
      <c r="BC923" s="15"/>
      <c r="BR923" s="15"/>
    </row>
    <row r="924" spans="1:70" ht="13.2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26"/>
      <c r="BC924" s="15"/>
      <c r="BR924" s="15"/>
    </row>
    <row r="925" spans="1:70" ht="13.2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26"/>
      <c r="BC925" s="15"/>
      <c r="BR925" s="15"/>
    </row>
    <row r="926" spans="1:70" ht="13.2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26"/>
      <c r="BC926" s="15"/>
      <c r="BR926" s="15"/>
    </row>
    <row r="927" spans="1:70" ht="13.2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26"/>
      <c r="BC927" s="15"/>
      <c r="BR927" s="15"/>
    </row>
    <row r="928" spans="1:70" ht="13.2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26"/>
      <c r="BC928" s="15"/>
      <c r="BR928" s="15"/>
    </row>
    <row r="929" spans="1:70" ht="13.2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26"/>
      <c r="BC929" s="15"/>
      <c r="BR929" s="15"/>
    </row>
    <row r="930" spans="1:70" ht="13.2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26"/>
      <c r="BC930" s="15"/>
      <c r="BR930" s="15"/>
    </row>
    <row r="931" spans="1:70" ht="13.2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26"/>
      <c r="BC931" s="15"/>
      <c r="BR931" s="15"/>
    </row>
    <row r="932" spans="1:70" ht="13.2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26"/>
      <c r="BC932" s="15"/>
      <c r="BR932" s="15"/>
    </row>
    <row r="933" spans="1:70" ht="13.2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26"/>
      <c r="BC933" s="15"/>
      <c r="BR933" s="15"/>
    </row>
    <row r="934" spans="1:70" ht="13.2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26"/>
      <c r="BC934" s="15"/>
      <c r="BR934" s="15"/>
    </row>
    <row r="935" spans="1:70" ht="13.2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26"/>
      <c r="BC935" s="15"/>
      <c r="BR935" s="15"/>
    </row>
    <row r="936" spans="1:70" ht="13.2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26"/>
      <c r="BC936" s="15"/>
      <c r="BR936" s="15"/>
    </row>
    <row r="937" spans="1:70" ht="13.2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26"/>
      <c r="BC937" s="15"/>
      <c r="BR937" s="15"/>
    </row>
    <row r="938" spans="1:70" ht="13.2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26"/>
      <c r="BC938" s="15"/>
      <c r="BR938" s="15"/>
    </row>
    <row r="939" spans="1:70" ht="13.2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26"/>
      <c r="BC939" s="15"/>
      <c r="BR939" s="15"/>
    </row>
    <row r="940" spans="1:70" ht="13.2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26"/>
      <c r="BC940" s="15"/>
      <c r="BR940" s="15"/>
    </row>
    <row r="941" spans="1:70" ht="13.2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26"/>
      <c r="BC941" s="15"/>
      <c r="BR941" s="15"/>
    </row>
    <row r="942" spans="1:70" ht="13.2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26"/>
      <c r="BC942" s="15"/>
      <c r="BR942" s="15"/>
    </row>
    <row r="943" spans="1:70" ht="13.2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26"/>
      <c r="BC943" s="15"/>
      <c r="BR943" s="15"/>
    </row>
    <row r="944" spans="1:70" ht="13.2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26"/>
      <c r="BC944" s="15"/>
      <c r="BR944" s="15"/>
    </row>
    <row r="945" spans="1:70" ht="13.2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26"/>
      <c r="BC945" s="15"/>
      <c r="BR945" s="15"/>
    </row>
    <row r="946" spans="1:70" ht="13.2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26"/>
      <c r="BC946" s="15"/>
      <c r="BR946" s="15"/>
    </row>
    <row r="947" spans="1:70" ht="13.2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26"/>
      <c r="BC947" s="15"/>
      <c r="BR947" s="15"/>
    </row>
    <row r="948" spans="1:70" ht="13.2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26"/>
      <c r="BC948" s="15"/>
      <c r="BR948" s="15"/>
    </row>
    <row r="949" spans="1:70" ht="13.2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26"/>
      <c r="BC949" s="15"/>
      <c r="BR949" s="15"/>
    </row>
    <row r="950" spans="1:70" ht="13.2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26"/>
      <c r="BC950" s="15"/>
      <c r="BR950" s="15"/>
    </row>
    <row r="951" spans="1:70" ht="13.2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26"/>
      <c r="BC951" s="15"/>
      <c r="BR951" s="15"/>
    </row>
    <row r="952" spans="1:70" ht="13.2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26"/>
      <c r="BC952" s="15"/>
      <c r="BR952" s="15"/>
    </row>
    <row r="953" spans="1:70" ht="13.2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26"/>
      <c r="BC953" s="15"/>
      <c r="BR953" s="15"/>
    </row>
    <row r="954" spans="1:70" ht="13.2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26"/>
      <c r="BC954" s="15"/>
      <c r="BR954" s="15"/>
    </row>
    <row r="955" spans="1:70" ht="13.2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26"/>
      <c r="BC955" s="15"/>
      <c r="BR955" s="15"/>
    </row>
    <row r="956" spans="1:70" ht="13.2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26"/>
      <c r="BC956" s="15"/>
      <c r="BR956" s="15"/>
    </row>
    <row r="957" spans="1:70" ht="13.2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26"/>
      <c r="BC957" s="15"/>
      <c r="BR957" s="15"/>
    </row>
    <row r="958" spans="1:70" ht="13.2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26"/>
      <c r="BC958" s="15"/>
      <c r="BR958" s="15"/>
    </row>
    <row r="959" spans="1:70" ht="13.2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26"/>
      <c r="BC959" s="15"/>
      <c r="BR959" s="15"/>
    </row>
    <row r="960" spans="1:70" ht="13.2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26"/>
      <c r="BC960" s="15"/>
      <c r="BR960" s="15"/>
    </row>
    <row r="961" spans="1:70" ht="13.2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26"/>
      <c r="BC961" s="15"/>
      <c r="BR961" s="15"/>
    </row>
    <row r="962" spans="1:70" ht="13.2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26"/>
      <c r="BC962" s="15"/>
      <c r="BR962" s="15"/>
    </row>
    <row r="963" spans="1:70" ht="13.2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26"/>
      <c r="BC963" s="15"/>
      <c r="BR963" s="15"/>
    </row>
    <row r="964" spans="1:70" ht="13.2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26"/>
      <c r="BC964" s="15"/>
      <c r="BR964" s="15"/>
    </row>
    <row r="965" spans="1:70" ht="13.2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26"/>
      <c r="BC965" s="15"/>
      <c r="BR965" s="15"/>
    </row>
    <row r="966" spans="1:70" ht="13.2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26"/>
      <c r="BC966" s="15"/>
      <c r="BR966" s="15"/>
    </row>
    <row r="967" spans="1:70" ht="13.2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26"/>
      <c r="BC967" s="15"/>
      <c r="BR967" s="15"/>
    </row>
    <row r="968" spans="1:70" ht="13.2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26"/>
      <c r="BC968" s="15"/>
      <c r="BR968" s="15"/>
    </row>
    <row r="969" spans="1:70" ht="13.2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26"/>
      <c r="BC969" s="15"/>
      <c r="BR969" s="15"/>
    </row>
    <row r="970" spans="1:70" ht="13.2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26"/>
      <c r="BC970" s="15"/>
      <c r="BR970" s="15"/>
    </row>
    <row r="971" spans="1:70" ht="13.2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26"/>
      <c r="BC971" s="15"/>
      <c r="BR971" s="15"/>
    </row>
    <row r="972" spans="1:70" ht="13.2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26"/>
      <c r="BC972" s="15"/>
      <c r="BR972" s="15"/>
    </row>
    <row r="973" spans="1:70" ht="13.2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26"/>
      <c r="BC973" s="15"/>
      <c r="BR973" s="15"/>
    </row>
    <row r="974" spans="1:70" ht="13.2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26"/>
      <c r="BC974" s="15"/>
      <c r="BR974" s="15"/>
    </row>
    <row r="975" spans="1:70" ht="13.2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26"/>
      <c r="BC975" s="15"/>
      <c r="BR975" s="15"/>
    </row>
    <row r="976" spans="1:70" ht="13.2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26"/>
      <c r="BC976" s="15"/>
      <c r="BR976" s="15"/>
    </row>
    <row r="977" spans="1:70" ht="13.2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26"/>
      <c r="BC977" s="15"/>
      <c r="BR977" s="15"/>
    </row>
    <row r="978" spans="1:70" ht="13.2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26"/>
      <c r="BC978" s="15"/>
      <c r="BR978" s="15"/>
    </row>
    <row r="979" spans="1:70" ht="13.2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26"/>
      <c r="BC979" s="15"/>
      <c r="BR979" s="15"/>
    </row>
    <row r="980" spans="1:70" ht="13.2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26"/>
      <c r="BC980" s="15"/>
      <c r="BR980" s="15"/>
    </row>
    <row r="981" spans="1:70" ht="13.2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26"/>
      <c r="BC981" s="15"/>
      <c r="BR981" s="15"/>
    </row>
    <row r="982" spans="1:70" ht="13.2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26"/>
      <c r="BC982" s="15"/>
      <c r="BR982" s="15"/>
    </row>
    <row r="983" spans="1:70" ht="13.2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26"/>
      <c r="BC983" s="15"/>
      <c r="BR983" s="15"/>
    </row>
    <row r="984" spans="1:70" ht="13.2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26"/>
      <c r="BC984" s="15"/>
      <c r="BR984" s="15"/>
    </row>
    <row r="985" spans="1:70" ht="13.2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26"/>
      <c r="BC985" s="15"/>
      <c r="BR985" s="15"/>
    </row>
    <row r="986" spans="1:70" ht="13.2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26"/>
      <c r="BC986" s="15"/>
      <c r="BR986" s="15"/>
    </row>
    <row r="987" spans="1:70" ht="13.2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26"/>
      <c r="BC987" s="15"/>
      <c r="BR987" s="15"/>
    </row>
    <row r="988" spans="1:70" ht="13.2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26"/>
      <c r="BC988" s="15"/>
      <c r="BR988" s="15"/>
    </row>
    <row r="989" spans="1:70" ht="13.2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26"/>
      <c r="BC989" s="15"/>
      <c r="BR989" s="15"/>
    </row>
    <row r="990" spans="1:70" ht="13.2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26"/>
      <c r="BC990" s="15"/>
      <c r="BR990" s="15"/>
    </row>
    <row r="991" spans="1:70" ht="13.2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26"/>
      <c r="BC991" s="15"/>
      <c r="BR991" s="15"/>
    </row>
    <row r="992" spans="1:70" ht="13.2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26"/>
      <c r="BC992" s="15"/>
      <c r="BR992" s="15"/>
    </row>
    <row r="993" spans="1:70" ht="13.2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26"/>
      <c r="BC993" s="15"/>
      <c r="BR993" s="15"/>
    </row>
    <row r="994" spans="1:70" ht="13.2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26"/>
      <c r="BC994" s="15"/>
      <c r="BR994" s="15"/>
    </row>
    <row r="995" spans="1:70" ht="13.2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26"/>
      <c r="BC995" s="15"/>
      <c r="BR995" s="15"/>
    </row>
    <row r="996" spans="1:70" ht="13.2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26"/>
      <c r="BC996" s="15"/>
      <c r="BR996" s="15"/>
    </row>
    <row r="997" spans="1:70" ht="13.2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26"/>
      <c r="BC997" s="15"/>
      <c r="BR997" s="15"/>
    </row>
    <row r="998" spans="1:70" ht="13.2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26"/>
      <c r="BC998" s="15"/>
      <c r="BR998" s="15"/>
    </row>
    <row r="999" spans="1:70" ht="13.2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26"/>
      <c r="BC999" s="15"/>
      <c r="BR999" s="15"/>
    </row>
    <row r="1000" spans="1:70" ht="13.2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26"/>
      <c r="BC1000" s="15"/>
      <c r="BR1000" s="15"/>
    </row>
    <row r="1001" spans="1:70" ht="13.2" x14ac:dyDescent="0.2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26"/>
      <c r="BC1001" s="15"/>
      <c r="BR1001" s="15"/>
    </row>
    <row r="1002" spans="1:70" ht="13.2" x14ac:dyDescent="0.2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26"/>
      <c r="BC1002" s="15"/>
      <c r="BR1002" s="15"/>
    </row>
    <row r="1003" spans="1:70" ht="13.2" x14ac:dyDescent="0.2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26"/>
      <c r="BC1003" s="15"/>
      <c r="BR1003" s="15"/>
    </row>
    <row r="1004" spans="1:70" ht="13.2" x14ac:dyDescent="0.2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26"/>
      <c r="BC1004" s="15"/>
      <c r="BR1004" s="15"/>
    </row>
    <row r="1005" spans="1:70" ht="13.2" x14ac:dyDescent="0.2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26"/>
      <c r="BC1005" s="15"/>
      <c r="BR1005" s="15"/>
    </row>
    <row r="1006" spans="1:70" ht="13.2" x14ac:dyDescent="0.2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26"/>
      <c r="BC1006" s="15"/>
      <c r="BR1006" s="15"/>
    </row>
    <row r="1007" spans="1:70" ht="13.2" x14ac:dyDescent="0.2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26"/>
      <c r="BC1007" s="15"/>
      <c r="BR1007" s="15"/>
    </row>
    <row r="1008" spans="1:70" ht="13.2" x14ac:dyDescent="0.2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26"/>
      <c r="BC1008" s="15"/>
      <c r="BR1008" s="15"/>
    </row>
    <row r="1009" spans="1:70" ht="13.2" x14ac:dyDescent="0.2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26"/>
      <c r="BC1009" s="15"/>
      <c r="BR1009" s="15"/>
    </row>
    <row r="1010" spans="1:70" ht="13.2" x14ac:dyDescent="0.2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26"/>
      <c r="BC1010" s="15"/>
      <c r="BR1010" s="15"/>
    </row>
    <row r="1011" spans="1:70" ht="13.2" x14ac:dyDescent="0.2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26"/>
      <c r="BC1011" s="15"/>
      <c r="BR1011" s="15"/>
    </row>
    <row r="1012" spans="1:70" ht="13.2" x14ac:dyDescent="0.2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26"/>
      <c r="BC1012" s="15"/>
      <c r="BR1012" s="15"/>
    </row>
    <row r="1013" spans="1:70" ht="13.2" x14ac:dyDescent="0.2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26"/>
      <c r="BC1013" s="15"/>
      <c r="BR1013" s="15"/>
    </row>
    <row r="1014" spans="1:70" ht="13.2" x14ac:dyDescent="0.2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26"/>
      <c r="BC1014" s="15"/>
      <c r="BR1014" s="15"/>
    </row>
    <row r="1015" spans="1:70" ht="13.2" x14ac:dyDescent="0.2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26"/>
      <c r="BC1015" s="15"/>
      <c r="BR1015" s="15"/>
    </row>
    <row r="1016" spans="1:70" ht="13.2" x14ac:dyDescent="0.2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26"/>
      <c r="BC1016" s="15"/>
      <c r="BR1016" s="15"/>
    </row>
    <row r="1017" spans="1:70" ht="13.2" x14ac:dyDescent="0.2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26"/>
      <c r="BC1017" s="15"/>
      <c r="BR1017" s="15"/>
    </row>
    <row r="1018" spans="1:70" ht="13.2" x14ac:dyDescent="0.2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26"/>
      <c r="BC1018" s="15"/>
      <c r="BR1018" s="15"/>
    </row>
    <row r="1019" spans="1:70" ht="13.2" x14ac:dyDescent="0.2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26"/>
      <c r="BC1019" s="15"/>
      <c r="BR1019" s="15"/>
    </row>
    <row r="1020" spans="1:70" ht="13.2" x14ac:dyDescent="0.2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26"/>
      <c r="BC1020" s="15"/>
      <c r="BR1020" s="15"/>
    </row>
    <row r="1021" spans="1:70" ht="13.2" x14ac:dyDescent="0.25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26"/>
      <c r="BC1021" s="15"/>
      <c r="BR1021" s="15"/>
    </row>
    <row r="1022" spans="1:70" ht="13.2" x14ac:dyDescent="0.25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26"/>
      <c r="BC1022" s="15"/>
      <c r="BR1022" s="15"/>
    </row>
    <row r="1023" spans="1:70" ht="13.2" x14ac:dyDescent="0.25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26"/>
      <c r="BC1023" s="15"/>
      <c r="BR1023" s="15"/>
    </row>
    <row r="1024" spans="1:70" ht="13.2" x14ac:dyDescent="0.25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26"/>
      <c r="BC1024" s="15"/>
      <c r="BR1024" s="15"/>
    </row>
    <row r="1025" spans="1:70" ht="13.2" x14ac:dyDescent="0.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26"/>
      <c r="BC1025" s="15"/>
      <c r="BR1025" s="15"/>
    </row>
    <row r="1026" spans="1:70" ht="13.2" x14ac:dyDescent="0.25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26"/>
      <c r="BC1026" s="15"/>
      <c r="BR1026" s="15"/>
    </row>
    <row r="1027" spans="1:70" ht="13.2" x14ac:dyDescent="0.25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26"/>
      <c r="BC1027" s="15"/>
      <c r="BR1027" s="15"/>
    </row>
    <row r="1028" spans="1:70" ht="13.2" x14ac:dyDescent="0.25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26"/>
      <c r="BC1028" s="15"/>
      <c r="BR1028" s="15"/>
    </row>
    <row r="1029" spans="1:70" ht="13.2" x14ac:dyDescent="0.25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26"/>
      <c r="BC1029" s="15"/>
      <c r="BR1029" s="15"/>
    </row>
    <row r="1030" spans="1:70" ht="13.2" x14ac:dyDescent="0.25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26"/>
      <c r="BC1030" s="15"/>
      <c r="BR1030" s="15"/>
    </row>
    <row r="1031" spans="1:70" ht="13.2" x14ac:dyDescent="0.25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26"/>
      <c r="BC1031" s="15"/>
      <c r="BR1031" s="15"/>
    </row>
    <row r="1032" spans="1:70" ht="13.2" x14ac:dyDescent="0.25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26"/>
      <c r="BC1032" s="15"/>
      <c r="BR1032" s="15"/>
    </row>
    <row r="1033" spans="1:70" ht="13.2" x14ac:dyDescent="0.25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26"/>
      <c r="BC1033" s="15"/>
      <c r="BR1033" s="15"/>
    </row>
    <row r="1034" spans="1:70" ht="13.2" x14ac:dyDescent="0.25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26"/>
      <c r="BC1034" s="15"/>
      <c r="BR1034" s="15"/>
    </row>
    <row r="1035" spans="1:70" ht="13.2" x14ac:dyDescent="0.2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26"/>
      <c r="BC1035" s="15"/>
      <c r="BR1035" s="15"/>
    </row>
    <row r="1036" spans="1:70" ht="13.2" x14ac:dyDescent="0.25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26"/>
      <c r="BC1036" s="15"/>
      <c r="BR1036" s="15"/>
    </row>
    <row r="1037" spans="1:70" ht="13.2" x14ac:dyDescent="0.25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26"/>
      <c r="BC1037" s="15"/>
      <c r="BR1037" s="15"/>
    </row>
    <row r="1038" spans="1:70" ht="13.2" x14ac:dyDescent="0.25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26"/>
      <c r="BC1038" s="15"/>
      <c r="BR1038" s="15"/>
    </row>
    <row r="1039" spans="1:70" ht="13.2" x14ac:dyDescent="0.25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26"/>
      <c r="BC1039" s="15"/>
      <c r="BR1039" s="15"/>
    </row>
    <row r="1040" spans="1:70" ht="13.2" x14ac:dyDescent="0.25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26"/>
      <c r="BC1040" s="15"/>
      <c r="BR1040" s="15"/>
    </row>
    <row r="1041" spans="1:70" ht="13.2" x14ac:dyDescent="0.25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26"/>
      <c r="BC1041" s="15"/>
      <c r="BR1041" s="15"/>
    </row>
    <row r="1042" spans="1:70" ht="13.2" x14ac:dyDescent="0.25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26"/>
      <c r="BC1042" s="15"/>
      <c r="BR1042" s="15"/>
    </row>
    <row r="1043" spans="1:70" ht="13.2" x14ac:dyDescent="0.25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26"/>
      <c r="BC1043" s="15"/>
      <c r="BR1043" s="15"/>
    </row>
    <row r="1044" spans="1:70" ht="13.2" x14ac:dyDescent="0.25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26"/>
      <c r="BC1044" s="15"/>
      <c r="BR1044" s="15"/>
    </row>
    <row r="1045" spans="1:70" ht="13.2" x14ac:dyDescent="0.2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26"/>
      <c r="BC1045" s="15"/>
      <c r="BR1045" s="15"/>
    </row>
    <row r="1046" spans="1:70" ht="13.2" x14ac:dyDescent="0.25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26"/>
      <c r="BC1046" s="15"/>
      <c r="BR1046" s="15"/>
    </row>
    <row r="1047" spans="1:70" ht="13.2" x14ac:dyDescent="0.25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26"/>
      <c r="BC1047" s="15"/>
      <c r="BR1047" s="15"/>
    </row>
    <row r="1048" spans="1:70" ht="13.2" x14ac:dyDescent="0.25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26"/>
      <c r="BC1048" s="15"/>
      <c r="BR1048" s="15"/>
    </row>
    <row r="1049" spans="1:70" ht="13.2" x14ac:dyDescent="0.25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26"/>
      <c r="BC1049" s="15"/>
      <c r="BR1049" s="15"/>
    </row>
    <row r="1050" spans="1:70" ht="13.2" x14ac:dyDescent="0.25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26"/>
      <c r="BC1050" s="15"/>
      <c r="BR1050" s="15"/>
    </row>
    <row r="1051" spans="1:70" ht="13.2" x14ac:dyDescent="0.25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26"/>
      <c r="BC1051" s="15"/>
      <c r="BR1051" s="15"/>
    </row>
    <row r="1052" spans="1:70" ht="13.2" x14ac:dyDescent="0.25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26"/>
      <c r="BC1052" s="15"/>
      <c r="BR1052" s="15"/>
    </row>
    <row r="1053" spans="1:70" ht="13.2" x14ac:dyDescent="0.25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26"/>
      <c r="BC1053" s="15"/>
      <c r="BR1053" s="15"/>
    </row>
    <row r="1054" spans="1:70" ht="13.2" x14ac:dyDescent="0.25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26"/>
      <c r="BC1054" s="15"/>
      <c r="BR1054" s="15"/>
    </row>
    <row r="1055" spans="1:70" ht="13.2" x14ac:dyDescent="0.2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26"/>
      <c r="BC1055" s="15"/>
      <c r="BR1055" s="15"/>
    </row>
    <row r="1056" spans="1:70" ht="13.2" x14ac:dyDescent="0.25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26"/>
      <c r="BC1056" s="15"/>
      <c r="BR1056" s="15"/>
    </row>
    <row r="1057" spans="1:70" ht="13.2" x14ac:dyDescent="0.25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26"/>
      <c r="BC1057" s="15"/>
      <c r="BR1057" s="15"/>
    </row>
    <row r="1058" spans="1:70" ht="13.2" x14ac:dyDescent="0.25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26"/>
      <c r="BC1058" s="15"/>
      <c r="BR1058" s="15"/>
    </row>
    <row r="1059" spans="1:70" ht="13.2" x14ac:dyDescent="0.25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26"/>
      <c r="BC1059" s="15"/>
      <c r="BR1059" s="15"/>
    </row>
    <row r="1060" spans="1:70" ht="13.2" x14ac:dyDescent="0.25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26"/>
      <c r="BC1060" s="15"/>
      <c r="BR1060" s="15"/>
    </row>
    <row r="1061" spans="1:70" ht="13.2" x14ac:dyDescent="0.25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26"/>
      <c r="BC1061" s="15"/>
      <c r="BR1061" s="15"/>
    </row>
    <row r="1062" spans="1:70" ht="13.2" x14ac:dyDescent="0.25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26"/>
      <c r="BC1062" s="15"/>
      <c r="BR1062" s="15"/>
    </row>
    <row r="1063" spans="1:70" ht="13.2" x14ac:dyDescent="0.25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26"/>
      <c r="BC1063" s="15"/>
      <c r="BR1063" s="15"/>
    </row>
    <row r="1064" spans="1:70" ht="13.2" x14ac:dyDescent="0.25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26"/>
      <c r="BC1064" s="15"/>
      <c r="BR1064" s="15"/>
    </row>
    <row r="1065" spans="1:70" ht="13.2" x14ac:dyDescent="0.2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26"/>
      <c r="BC1065" s="15"/>
      <c r="BR1065" s="15"/>
    </row>
    <row r="1066" spans="1:70" ht="13.2" x14ac:dyDescent="0.25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26"/>
      <c r="BC1066" s="15"/>
      <c r="BR1066" s="15"/>
    </row>
    <row r="1067" spans="1:70" ht="13.2" x14ac:dyDescent="0.25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26"/>
      <c r="BC1067" s="15"/>
      <c r="BR1067" s="15"/>
    </row>
    <row r="1068" spans="1:70" ht="13.2" x14ac:dyDescent="0.25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26"/>
      <c r="BC1068" s="15"/>
      <c r="BR1068" s="15"/>
    </row>
    <row r="1069" spans="1:70" ht="13.2" x14ac:dyDescent="0.25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26"/>
      <c r="BC1069" s="15"/>
      <c r="BR1069" s="15"/>
    </row>
    <row r="1070" spans="1:70" ht="13.2" x14ac:dyDescent="0.25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26"/>
      <c r="BC1070" s="15"/>
      <c r="BR1070" s="15"/>
    </row>
    <row r="1071" spans="1:70" ht="13.2" x14ac:dyDescent="0.25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26"/>
      <c r="BC1071" s="15"/>
      <c r="BR1071" s="15"/>
    </row>
    <row r="1072" spans="1:70" ht="13.2" x14ac:dyDescent="0.25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26"/>
      <c r="BC1072" s="15"/>
      <c r="BR1072" s="15"/>
    </row>
    <row r="1073" spans="1:70" ht="13.2" x14ac:dyDescent="0.25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26"/>
      <c r="BC1073" s="15"/>
      <c r="BR1073" s="15"/>
    </row>
    <row r="1074" spans="1:70" ht="13.2" x14ac:dyDescent="0.25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26"/>
      <c r="BC1074" s="15"/>
      <c r="BR1074" s="15"/>
    </row>
    <row r="1075" spans="1:70" ht="13.2" x14ac:dyDescent="0.2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26"/>
      <c r="BC1075" s="15"/>
      <c r="BR1075" s="15"/>
    </row>
    <row r="1076" spans="1:70" ht="13.2" x14ac:dyDescent="0.25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26"/>
      <c r="BC1076" s="15"/>
      <c r="BR1076" s="15"/>
    </row>
    <row r="1077" spans="1:70" ht="13.2" x14ac:dyDescent="0.25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26"/>
      <c r="BC1077" s="15"/>
      <c r="BR1077" s="15"/>
    </row>
    <row r="1078" spans="1:70" ht="13.2" x14ac:dyDescent="0.25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26"/>
      <c r="BC1078" s="15"/>
      <c r="BR1078" s="15"/>
    </row>
    <row r="1079" spans="1:70" ht="13.2" x14ac:dyDescent="0.25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26"/>
      <c r="BC1079" s="15"/>
      <c r="BR1079" s="15"/>
    </row>
    <row r="1080" spans="1:70" ht="13.2" x14ac:dyDescent="0.25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26"/>
      <c r="BC1080" s="15"/>
      <c r="BR1080" s="15"/>
    </row>
    <row r="1081" spans="1:70" ht="13.2" x14ac:dyDescent="0.25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26"/>
      <c r="BC1081" s="15"/>
      <c r="BR1081" s="15"/>
    </row>
    <row r="1082" spans="1:70" ht="13.2" x14ac:dyDescent="0.25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26"/>
      <c r="BC1082" s="15"/>
      <c r="BR1082" s="15"/>
    </row>
    <row r="1083" spans="1:70" ht="13.2" x14ac:dyDescent="0.25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26"/>
      <c r="BC1083" s="15"/>
      <c r="BR1083" s="15"/>
    </row>
    <row r="1084" spans="1:70" ht="13.2" x14ac:dyDescent="0.25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26"/>
      <c r="BC1084" s="15"/>
      <c r="BR1084" s="15"/>
    </row>
    <row r="1085" spans="1:70" ht="13.2" x14ac:dyDescent="0.2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26"/>
      <c r="BC1085" s="15"/>
      <c r="BR1085" s="15"/>
    </row>
    <row r="1086" spans="1:70" ht="13.2" x14ac:dyDescent="0.25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26"/>
      <c r="BC1086" s="15"/>
      <c r="BR1086" s="15"/>
    </row>
    <row r="1087" spans="1:70" ht="13.2" x14ac:dyDescent="0.25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26"/>
      <c r="BC1087" s="15"/>
      <c r="BR1087" s="15"/>
    </row>
    <row r="1088" spans="1:70" ht="13.2" x14ac:dyDescent="0.25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26"/>
      <c r="BC1088" s="15"/>
      <c r="BR1088" s="15"/>
    </row>
    <row r="1089" spans="1:70" ht="13.2" x14ac:dyDescent="0.25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26"/>
      <c r="BC1089" s="15"/>
      <c r="BR1089" s="15"/>
    </row>
    <row r="1090" spans="1:70" ht="13.2" x14ac:dyDescent="0.25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26"/>
      <c r="BC1090" s="15"/>
      <c r="BR1090" s="15"/>
    </row>
    <row r="1091" spans="1:70" ht="13.2" x14ac:dyDescent="0.25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26"/>
      <c r="BC1091" s="15"/>
      <c r="BR1091" s="15"/>
    </row>
    <row r="1092" spans="1:70" ht="13.2" x14ac:dyDescent="0.25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26"/>
      <c r="BC1092" s="15"/>
      <c r="BR1092" s="15"/>
    </row>
    <row r="1093" spans="1:70" ht="13.2" x14ac:dyDescent="0.25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26"/>
      <c r="BC1093" s="15"/>
      <c r="BR1093" s="15"/>
    </row>
    <row r="1094" spans="1:70" ht="13.2" x14ac:dyDescent="0.25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26"/>
      <c r="BC1094" s="15"/>
      <c r="BR1094" s="15"/>
    </row>
    <row r="1095" spans="1:70" ht="13.2" x14ac:dyDescent="0.2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26"/>
      <c r="BC1095" s="15"/>
      <c r="BR1095" s="15"/>
    </row>
    <row r="1096" spans="1:70" ht="13.2" x14ac:dyDescent="0.25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26"/>
      <c r="BC1096" s="15"/>
      <c r="BR1096" s="15"/>
    </row>
    <row r="1097" spans="1:70" ht="13.2" x14ac:dyDescent="0.25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26"/>
      <c r="BC1097" s="15"/>
      <c r="BR1097" s="15"/>
    </row>
    <row r="1098" spans="1:70" ht="13.2" x14ac:dyDescent="0.25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26"/>
      <c r="BC1098" s="15"/>
      <c r="BR1098" s="15"/>
    </row>
    <row r="1099" spans="1:70" ht="13.2" x14ac:dyDescent="0.25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26"/>
      <c r="BC1099" s="15"/>
      <c r="BR1099" s="15"/>
    </row>
    <row r="1100" spans="1:70" ht="13.2" x14ac:dyDescent="0.25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26"/>
      <c r="BC1100" s="15"/>
      <c r="BR1100" s="15"/>
    </row>
    <row r="1101" spans="1:70" ht="13.2" x14ac:dyDescent="0.25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26"/>
      <c r="BC1101" s="15"/>
      <c r="BR1101" s="15"/>
    </row>
    <row r="1102" spans="1:70" ht="13.2" x14ac:dyDescent="0.25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26"/>
      <c r="BC1102" s="15"/>
      <c r="BR1102" s="15"/>
    </row>
    <row r="1103" spans="1:70" ht="13.2" x14ac:dyDescent="0.25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26"/>
      <c r="BC1103" s="15"/>
      <c r="BR1103" s="15"/>
    </row>
    <row r="1104" spans="1:70" ht="13.2" x14ac:dyDescent="0.25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26"/>
      <c r="BC1104" s="15"/>
      <c r="BR1104" s="15"/>
    </row>
    <row r="1105" spans="1:70" ht="13.2" x14ac:dyDescent="0.2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26"/>
      <c r="BC1105" s="15"/>
      <c r="BR1105" s="15"/>
    </row>
    <row r="1106" spans="1:70" ht="13.2" x14ac:dyDescent="0.25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26"/>
      <c r="BC1106" s="15"/>
      <c r="BR1106" s="15"/>
    </row>
    <row r="1107" spans="1:70" ht="13.2" x14ac:dyDescent="0.25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26"/>
      <c r="BC1107" s="15"/>
      <c r="BR1107" s="15"/>
    </row>
    <row r="1108" spans="1:70" ht="13.2" x14ac:dyDescent="0.25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26"/>
      <c r="BC1108" s="15"/>
      <c r="BR1108" s="15"/>
    </row>
    <row r="1109" spans="1:70" ht="13.2" x14ac:dyDescent="0.25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26"/>
      <c r="BC1109" s="15"/>
      <c r="BR1109" s="15"/>
    </row>
    <row r="1110" spans="1:70" ht="13.2" x14ac:dyDescent="0.25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26"/>
      <c r="BC1110" s="15"/>
      <c r="BR1110" s="15"/>
    </row>
    <row r="1111" spans="1:70" ht="13.2" x14ac:dyDescent="0.25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26"/>
      <c r="BC1111" s="15"/>
      <c r="BR1111" s="15"/>
    </row>
    <row r="1112" spans="1:70" ht="13.2" x14ac:dyDescent="0.25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26"/>
      <c r="BC1112" s="15"/>
      <c r="BR1112" s="15"/>
    </row>
    <row r="1113" spans="1:70" ht="13.2" x14ac:dyDescent="0.25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26"/>
      <c r="BC1113" s="15"/>
      <c r="BR1113" s="15"/>
    </row>
    <row r="1114" spans="1:70" ht="13.2" x14ac:dyDescent="0.25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26"/>
      <c r="BC1114" s="15"/>
      <c r="BR1114" s="15"/>
    </row>
    <row r="1115" spans="1:70" ht="13.2" x14ac:dyDescent="0.2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26"/>
      <c r="BC1115" s="15"/>
      <c r="BR1115" s="15"/>
    </row>
    <row r="1116" spans="1:70" ht="13.2" x14ac:dyDescent="0.25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26"/>
      <c r="BC1116" s="15"/>
      <c r="BR1116" s="15"/>
    </row>
    <row r="1117" spans="1:70" ht="13.2" x14ac:dyDescent="0.25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26"/>
      <c r="BC1117" s="15"/>
      <c r="BR1117" s="15"/>
    </row>
    <row r="1118" spans="1:70" ht="13.2" x14ac:dyDescent="0.25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26"/>
      <c r="BC1118" s="15"/>
      <c r="BR1118" s="15"/>
    </row>
    <row r="1119" spans="1:70" ht="13.2" x14ac:dyDescent="0.25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26"/>
      <c r="BC1119" s="15"/>
      <c r="BR1119" s="15"/>
    </row>
    <row r="1120" spans="1:70" ht="13.2" x14ac:dyDescent="0.25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26"/>
      <c r="BC1120" s="15"/>
      <c r="BR1120" s="15"/>
    </row>
    <row r="1121" spans="1:70" ht="13.2" x14ac:dyDescent="0.25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26"/>
      <c r="BC1121" s="15"/>
      <c r="BR1121" s="15"/>
    </row>
    <row r="1122" spans="1:70" ht="13.2" x14ac:dyDescent="0.25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26"/>
      <c r="BC1122" s="15"/>
      <c r="BR1122" s="15"/>
    </row>
    <row r="1123" spans="1:70" ht="13.2" x14ac:dyDescent="0.25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26"/>
      <c r="BC1123" s="15"/>
      <c r="BR1123" s="15"/>
    </row>
    <row r="1124" spans="1:70" ht="13.2" x14ac:dyDescent="0.25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26"/>
      <c r="BC1124" s="15"/>
      <c r="BR1124" s="15"/>
    </row>
    <row r="1125" spans="1:70" ht="13.2" x14ac:dyDescent="0.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26"/>
      <c r="BC1125" s="15"/>
      <c r="BR1125" s="15"/>
    </row>
    <row r="1126" spans="1:70" ht="13.2" x14ac:dyDescent="0.25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26"/>
      <c r="BC1126" s="15"/>
      <c r="BR1126" s="15"/>
    </row>
    <row r="1127" spans="1:70" ht="13.2" x14ac:dyDescent="0.25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26"/>
      <c r="BC1127" s="15"/>
      <c r="BR1127" s="15"/>
    </row>
    <row r="1128" spans="1:70" ht="13.2" x14ac:dyDescent="0.25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26"/>
      <c r="BC1128" s="15"/>
      <c r="BR1128" s="15"/>
    </row>
    <row r="1129" spans="1:70" ht="13.2" x14ac:dyDescent="0.25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26"/>
      <c r="BC1129" s="15"/>
      <c r="BR1129" s="15"/>
    </row>
    <row r="1130" spans="1:70" ht="13.2" x14ac:dyDescent="0.25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26"/>
      <c r="BC1130" s="15"/>
      <c r="BR1130" s="15"/>
    </row>
    <row r="1131" spans="1:70" ht="13.2" x14ac:dyDescent="0.25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26"/>
      <c r="BC1131" s="15"/>
      <c r="BR1131" s="15"/>
    </row>
    <row r="1132" spans="1:70" ht="13.2" x14ac:dyDescent="0.25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26"/>
      <c r="BC1132" s="15"/>
      <c r="BR1132" s="15"/>
    </row>
    <row r="1133" spans="1:70" ht="13.2" x14ac:dyDescent="0.25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26"/>
      <c r="BC1133" s="15"/>
      <c r="BR1133" s="15"/>
    </row>
    <row r="1134" spans="1:70" ht="13.2" x14ac:dyDescent="0.25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26"/>
      <c r="BC1134" s="15"/>
      <c r="BR1134" s="15"/>
    </row>
    <row r="1135" spans="1:70" ht="13.2" x14ac:dyDescent="0.2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26"/>
      <c r="BC1135" s="15"/>
      <c r="BR1135" s="15"/>
    </row>
    <row r="1136" spans="1:70" ht="13.2" x14ac:dyDescent="0.25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26"/>
      <c r="BC1136" s="15"/>
      <c r="BR1136" s="15"/>
    </row>
    <row r="1137" spans="1:70" ht="13.2" x14ac:dyDescent="0.25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26"/>
      <c r="BC1137" s="15"/>
      <c r="BR1137" s="15"/>
    </row>
    <row r="1138" spans="1:70" ht="13.2" x14ac:dyDescent="0.25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26"/>
      <c r="BC1138" s="15"/>
      <c r="BR1138" s="15"/>
    </row>
    <row r="1139" spans="1:70" ht="13.2" x14ac:dyDescent="0.25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26"/>
      <c r="BC1139" s="15"/>
      <c r="BR1139" s="15"/>
    </row>
    <row r="1140" spans="1:70" ht="13.2" x14ac:dyDescent="0.25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26"/>
      <c r="BC1140" s="15"/>
      <c r="BR1140" s="15"/>
    </row>
    <row r="1141" spans="1:70" ht="13.2" x14ac:dyDescent="0.25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26"/>
      <c r="BC1141" s="15"/>
      <c r="BR1141" s="15"/>
    </row>
    <row r="1142" spans="1:70" ht="13.2" x14ac:dyDescent="0.25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26"/>
      <c r="BC1142" s="15"/>
      <c r="BR1142" s="15"/>
    </row>
    <row r="1143" spans="1:70" ht="13.2" x14ac:dyDescent="0.25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26"/>
      <c r="BC1143" s="15"/>
      <c r="BR1143" s="15"/>
    </row>
    <row r="1144" spans="1:70" ht="13.2" x14ac:dyDescent="0.25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26"/>
      <c r="BC1144" s="15"/>
      <c r="BR1144" s="15"/>
    </row>
    <row r="1145" spans="1:70" ht="13.2" x14ac:dyDescent="0.2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26"/>
      <c r="BC1145" s="15"/>
      <c r="BR1145" s="15"/>
    </row>
    <row r="1146" spans="1:70" ht="13.2" x14ac:dyDescent="0.25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26"/>
      <c r="BC1146" s="15"/>
      <c r="BR1146" s="15"/>
    </row>
    <row r="1147" spans="1:70" ht="13.2" x14ac:dyDescent="0.25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26"/>
      <c r="BC1147" s="15"/>
      <c r="BR1147" s="15"/>
    </row>
    <row r="1148" spans="1:70" ht="13.2" x14ac:dyDescent="0.25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26"/>
      <c r="BC1148" s="15"/>
      <c r="BR1148" s="15"/>
    </row>
    <row r="1149" spans="1:70" ht="13.2" x14ac:dyDescent="0.25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26"/>
      <c r="BC1149" s="15"/>
      <c r="BR1149" s="15"/>
    </row>
    <row r="1150" spans="1:70" ht="13.2" x14ac:dyDescent="0.25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26"/>
      <c r="BC1150" s="15"/>
      <c r="BR1150" s="15"/>
    </row>
    <row r="1151" spans="1:70" ht="13.2" x14ac:dyDescent="0.25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26"/>
      <c r="BC1151" s="15"/>
      <c r="BR1151" s="15"/>
    </row>
    <row r="1152" spans="1:70" ht="13.2" x14ac:dyDescent="0.25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26"/>
      <c r="BC1152" s="15"/>
      <c r="BR1152" s="15"/>
    </row>
    <row r="1153" spans="1:70" ht="13.2" x14ac:dyDescent="0.25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26"/>
      <c r="BC1153" s="15"/>
      <c r="BR1153" s="15"/>
    </row>
    <row r="1154" spans="1:70" ht="13.2" x14ac:dyDescent="0.25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26"/>
      <c r="BC1154" s="15"/>
      <c r="BR1154" s="15"/>
    </row>
    <row r="1155" spans="1:70" ht="13.2" x14ac:dyDescent="0.2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26"/>
      <c r="BC1155" s="15"/>
      <c r="BR1155" s="15"/>
    </row>
    <row r="1156" spans="1:70" ht="13.2" x14ac:dyDescent="0.25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26"/>
      <c r="BC1156" s="15"/>
      <c r="BR1156" s="15"/>
    </row>
    <row r="1157" spans="1:70" ht="13.2" x14ac:dyDescent="0.25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26"/>
      <c r="BC1157" s="15"/>
      <c r="BR1157" s="15"/>
    </row>
    <row r="1158" spans="1:70" ht="13.2" x14ac:dyDescent="0.25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26"/>
      <c r="BC1158" s="15"/>
      <c r="BR1158" s="15"/>
    </row>
    <row r="1159" spans="1:70" ht="13.2" x14ac:dyDescent="0.25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26"/>
      <c r="BC1159" s="15"/>
      <c r="BR1159" s="15"/>
    </row>
    <row r="1160" spans="1:70" ht="13.2" x14ac:dyDescent="0.25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26"/>
      <c r="BC1160" s="15"/>
      <c r="BR1160" s="15"/>
    </row>
    <row r="1161" spans="1:70" ht="13.2" x14ac:dyDescent="0.25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26"/>
      <c r="BC1161" s="15"/>
      <c r="BR1161" s="15"/>
    </row>
    <row r="1162" spans="1:70" ht="13.2" x14ac:dyDescent="0.25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26"/>
      <c r="BC1162" s="15"/>
      <c r="BR1162" s="15"/>
    </row>
    <row r="1163" spans="1:70" ht="13.2" x14ac:dyDescent="0.25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26"/>
      <c r="BC1163" s="15"/>
      <c r="BR1163" s="15"/>
    </row>
    <row r="1164" spans="1:70" ht="13.2" x14ac:dyDescent="0.25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26"/>
      <c r="BC1164" s="15"/>
      <c r="BR1164" s="15"/>
    </row>
    <row r="1165" spans="1:70" ht="13.2" x14ac:dyDescent="0.25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26"/>
      <c r="BC1165" s="15"/>
      <c r="BR1165" s="15"/>
    </row>
    <row r="1166" spans="1:70" ht="13.2" x14ac:dyDescent="0.25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26"/>
      <c r="BC1166" s="15"/>
      <c r="BR1166" s="15"/>
    </row>
    <row r="1167" spans="1:70" ht="13.2" x14ac:dyDescent="0.25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26"/>
      <c r="BC1167" s="15"/>
      <c r="BR1167" s="15"/>
    </row>
    <row r="1168" spans="1:70" ht="13.2" x14ac:dyDescent="0.25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26"/>
      <c r="BC1168" s="15"/>
      <c r="BR1168" s="15"/>
    </row>
    <row r="1169" spans="1:70" ht="13.2" x14ac:dyDescent="0.25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26"/>
      <c r="BC1169" s="15"/>
      <c r="BR1169" s="15"/>
    </row>
    <row r="1170" spans="1:70" ht="13.2" x14ac:dyDescent="0.25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26"/>
      <c r="BC1170" s="15"/>
      <c r="BR1170" s="15"/>
    </row>
    <row r="1171" spans="1:70" ht="13.2" x14ac:dyDescent="0.25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26"/>
      <c r="BC1171" s="15"/>
      <c r="BR1171" s="15"/>
    </row>
    <row r="1172" spans="1:70" ht="13.2" x14ac:dyDescent="0.25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26"/>
      <c r="BC1172" s="15"/>
      <c r="BR1172" s="15"/>
    </row>
    <row r="1173" spans="1:70" ht="13.2" x14ac:dyDescent="0.25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26"/>
      <c r="BC1173" s="15"/>
      <c r="BR1173" s="15"/>
    </row>
    <row r="1174" spans="1:70" ht="13.2" x14ac:dyDescent="0.25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26"/>
      <c r="BC1174" s="15"/>
      <c r="BR1174" s="15"/>
    </row>
    <row r="1175" spans="1:70" ht="13.2" x14ac:dyDescent="0.25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26"/>
      <c r="BC1175" s="15"/>
      <c r="BR1175" s="15"/>
    </row>
    <row r="1176" spans="1:70" ht="13.2" x14ac:dyDescent="0.25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26"/>
      <c r="BC1176" s="15"/>
      <c r="BR1176" s="15"/>
    </row>
    <row r="1177" spans="1:70" ht="13.2" x14ac:dyDescent="0.25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26"/>
      <c r="BC1177" s="15"/>
      <c r="BR1177" s="15"/>
    </row>
    <row r="1178" spans="1:70" ht="13.2" x14ac:dyDescent="0.25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26"/>
      <c r="BC1178" s="15"/>
      <c r="BR1178" s="15"/>
    </row>
    <row r="1179" spans="1:70" ht="13.2" x14ac:dyDescent="0.25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26"/>
      <c r="BC1179" s="15"/>
      <c r="BR1179" s="15"/>
    </row>
    <row r="1180" spans="1:70" ht="13.2" x14ac:dyDescent="0.25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26"/>
      <c r="BC1180" s="15"/>
      <c r="BR1180" s="15"/>
    </row>
    <row r="1181" spans="1:70" ht="13.2" x14ac:dyDescent="0.25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26"/>
      <c r="BC1181" s="15"/>
      <c r="BR1181" s="15"/>
    </row>
    <row r="1182" spans="1:70" ht="13.2" x14ac:dyDescent="0.25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26"/>
      <c r="BC1182" s="15"/>
      <c r="BR1182" s="15"/>
    </row>
    <row r="1183" spans="1:70" ht="13.2" x14ac:dyDescent="0.25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26"/>
      <c r="BC1183" s="15"/>
      <c r="BR1183" s="15"/>
    </row>
    <row r="1184" spans="1:70" ht="13.2" x14ac:dyDescent="0.25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26"/>
      <c r="BC1184" s="15"/>
      <c r="BR1184" s="15"/>
    </row>
    <row r="1185" spans="1:70" ht="13.2" x14ac:dyDescent="0.25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26"/>
      <c r="BC1185" s="15"/>
      <c r="BR1185" s="15"/>
    </row>
    <row r="1186" spans="1:70" ht="13.2" x14ac:dyDescent="0.25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26"/>
      <c r="BC1186" s="15"/>
      <c r="BR1186" s="15"/>
    </row>
    <row r="1187" spans="1:70" ht="13.2" x14ac:dyDescent="0.25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26"/>
      <c r="BC1187" s="15"/>
      <c r="BR1187" s="15"/>
    </row>
    <row r="1188" spans="1:70" ht="13.2" x14ac:dyDescent="0.25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26"/>
      <c r="BC1188" s="15"/>
      <c r="BR1188" s="15"/>
    </row>
    <row r="1189" spans="1:70" ht="13.2" x14ac:dyDescent="0.25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26"/>
      <c r="BC1189" s="15"/>
      <c r="BR1189" s="15"/>
    </row>
    <row r="1190" spans="1:70" ht="13.2" x14ac:dyDescent="0.25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26"/>
      <c r="BC1190" s="15"/>
      <c r="BR1190" s="15"/>
    </row>
    <row r="1191" spans="1:70" ht="13.2" x14ac:dyDescent="0.25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26"/>
      <c r="BC1191" s="15"/>
      <c r="BR1191" s="15"/>
    </row>
    <row r="1192" spans="1:70" ht="13.2" x14ac:dyDescent="0.25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26"/>
      <c r="BC1192" s="15"/>
      <c r="BR1192" s="15"/>
    </row>
    <row r="1193" spans="1:70" ht="13.2" x14ac:dyDescent="0.25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26"/>
      <c r="BC1193" s="15"/>
      <c r="BR1193" s="15"/>
    </row>
    <row r="1194" spans="1:70" ht="13.2" x14ac:dyDescent="0.25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26"/>
      <c r="BC1194" s="15"/>
      <c r="BR1194" s="15"/>
    </row>
    <row r="1195" spans="1:70" ht="13.2" x14ac:dyDescent="0.25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26"/>
      <c r="BC1195" s="15"/>
      <c r="BR1195" s="15"/>
    </row>
    <row r="1196" spans="1:70" ht="13.2" x14ac:dyDescent="0.25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26"/>
      <c r="BC1196" s="15"/>
      <c r="BR1196" s="15"/>
    </row>
    <row r="1197" spans="1:70" ht="13.2" x14ac:dyDescent="0.25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26"/>
      <c r="BC1197" s="15"/>
      <c r="BR1197" s="15"/>
    </row>
    <row r="1198" spans="1:70" ht="13.2" x14ac:dyDescent="0.25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26"/>
      <c r="BC1198" s="15"/>
      <c r="BR1198" s="15"/>
    </row>
    <row r="1199" spans="1:70" ht="13.2" x14ac:dyDescent="0.25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26"/>
      <c r="BC1199" s="15"/>
      <c r="BR1199" s="15"/>
    </row>
    <row r="1200" spans="1:70" ht="13.2" x14ac:dyDescent="0.25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26"/>
      <c r="BC1200" s="15"/>
      <c r="BR1200" s="15"/>
    </row>
    <row r="1201" spans="1:70" ht="13.2" x14ac:dyDescent="0.25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26"/>
      <c r="BC1201" s="15"/>
      <c r="BR1201" s="15"/>
    </row>
    <row r="1202" spans="1:70" ht="13.2" x14ac:dyDescent="0.25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26"/>
      <c r="BC1202" s="15"/>
      <c r="BR1202" s="15"/>
    </row>
    <row r="1203" spans="1:70" ht="13.2" x14ac:dyDescent="0.25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26"/>
      <c r="BC1203" s="15"/>
      <c r="BR1203" s="15"/>
    </row>
    <row r="1204" spans="1:70" ht="13.2" x14ac:dyDescent="0.25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26"/>
      <c r="BC1204" s="15"/>
      <c r="BR1204" s="15"/>
    </row>
    <row r="1205" spans="1:70" ht="13.2" x14ac:dyDescent="0.25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26"/>
      <c r="BC1205" s="15"/>
      <c r="BR1205" s="15"/>
    </row>
    <row r="1206" spans="1:70" ht="13.2" x14ac:dyDescent="0.25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26"/>
      <c r="BC1206" s="15"/>
      <c r="BR1206" s="15"/>
    </row>
    <row r="1207" spans="1:70" ht="13.2" x14ac:dyDescent="0.25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26"/>
      <c r="BC1207" s="15"/>
      <c r="BR1207" s="15"/>
    </row>
    <row r="1208" spans="1:70" ht="13.2" x14ac:dyDescent="0.25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26"/>
      <c r="BC1208" s="15"/>
      <c r="BR1208" s="15"/>
    </row>
    <row r="1209" spans="1:70" ht="13.2" x14ac:dyDescent="0.25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26"/>
      <c r="BC1209" s="15"/>
      <c r="BR1209" s="15"/>
    </row>
    <row r="1210" spans="1:70" ht="13.2" x14ac:dyDescent="0.25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26"/>
      <c r="BC1210" s="15"/>
      <c r="BR1210" s="15"/>
    </row>
    <row r="1211" spans="1:70" ht="13.2" x14ac:dyDescent="0.25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26"/>
      <c r="BC1211" s="15"/>
      <c r="BR1211" s="15"/>
    </row>
    <row r="1212" spans="1:70" ht="13.2" x14ac:dyDescent="0.25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26"/>
      <c r="BC1212" s="15"/>
      <c r="BR1212" s="15"/>
    </row>
    <row r="1213" spans="1:70" ht="13.2" x14ac:dyDescent="0.25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26"/>
      <c r="BC1213" s="15"/>
      <c r="BR1213" s="15"/>
    </row>
    <row r="1214" spans="1:70" ht="13.2" x14ac:dyDescent="0.25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26"/>
      <c r="BC1214" s="15"/>
      <c r="BR1214" s="15"/>
    </row>
    <row r="1215" spans="1:70" ht="13.2" x14ac:dyDescent="0.25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26"/>
      <c r="BC1215" s="15"/>
      <c r="BR1215" s="15"/>
    </row>
    <row r="1216" spans="1:70" ht="13.2" x14ac:dyDescent="0.25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26"/>
      <c r="BC1216" s="15"/>
      <c r="BR1216" s="15"/>
    </row>
    <row r="1217" spans="1:70" ht="13.2" x14ac:dyDescent="0.25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26"/>
      <c r="BC1217" s="15"/>
      <c r="BR1217" s="15"/>
    </row>
    <row r="1218" spans="1:70" ht="13.2" x14ac:dyDescent="0.25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26"/>
      <c r="BC1218" s="15"/>
      <c r="BR1218" s="15"/>
    </row>
    <row r="1219" spans="1:70" ht="13.2" x14ac:dyDescent="0.25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26"/>
      <c r="BC1219" s="15"/>
      <c r="BR1219" s="15"/>
    </row>
    <row r="1220" spans="1:70" ht="13.2" x14ac:dyDescent="0.25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26"/>
      <c r="BC1220" s="15"/>
      <c r="BR1220" s="15"/>
    </row>
    <row r="1221" spans="1:70" ht="13.2" x14ac:dyDescent="0.25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26"/>
      <c r="BC1221" s="15"/>
      <c r="BR1221" s="15"/>
    </row>
    <row r="1222" spans="1:70" ht="13.2" x14ac:dyDescent="0.25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26"/>
      <c r="BC1222" s="15"/>
      <c r="BR1222" s="15"/>
    </row>
    <row r="1223" spans="1:70" ht="13.2" x14ac:dyDescent="0.25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26"/>
      <c r="BC1223" s="15"/>
      <c r="BR1223" s="15"/>
    </row>
    <row r="1224" spans="1:70" ht="13.2" x14ac:dyDescent="0.25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26"/>
      <c r="BC1224" s="15"/>
      <c r="BR1224" s="15"/>
    </row>
    <row r="1225" spans="1:70" ht="13.2" x14ac:dyDescent="0.25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26"/>
      <c r="BC1225" s="15"/>
      <c r="BR1225" s="15"/>
    </row>
    <row r="1226" spans="1:70" ht="13.2" x14ac:dyDescent="0.25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26"/>
      <c r="BC1226" s="15"/>
      <c r="BR1226" s="15"/>
    </row>
    <row r="1227" spans="1:70" ht="13.2" x14ac:dyDescent="0.25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26"/>
      <c r="BC1227" s="15"/>
      <c r="BR1227" s="15"/>
    </row>
    <row r="1228" spans="1:70" ht="13.2" x14ac:dyDescent="0.25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26"/>
      <c r="BC1228" s="15"/>
      <c r="BR1228" s="15"/>
    </row>
    <row r="1229" spans="1:70" ht="13.2" x14ac:dyDescent="0.25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26"/>
      <c r="BC1229" s="15"/>
      <c r="BR1229" s="15"/>
    </row>
    <row r="1230" spans="1:70" ht="13.2" x14ac:dyDescent="0.25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26"/>
      <c r="BC1230" s="15"/>
      <c r="BR1230" s="15"/>
    </row>
    <row r="1231" spans="1:70" ht="13.2" x14ac:dyDescent="0.25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26"/>
      <c r="BC1231" s="15"/>
      <c r="BR1231" s="15"/>
    </row>
    <row r="1232" spans="1:70" ht="13.2" x14ac:dyDescent="0.25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26"/>
      <c r="BC1232" s="15"/>
      <c r="BR1232" s="15"/>
    </row>
    <row r="1233" spans="1:70" ht="13.2" x14ac:dyDescent="0.25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26"/>
      <c r="BC1233" s="15"/>
      <c r="BR1233" s="15"/>
    </row>
    <row r="1234" spans="1:70" ht="13.2" x14ac:dyDescent="0.25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26"/>
      <c r="BC1234" s="15"/>
      <c r="BR1234" s="15"/>
    </row>
    <row r="1235" spans="1:70" ht="13.2" x14ac:dyDescent="0.25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26"/>
      <c r="BC1235" s="15"/>
      <c r="BR1235" s="15"/>
    </row>
    <row r="1236" spans="1:70" ht="13.2" x14ac:dyDescent="0.25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26"/>
      <c r="BC1236" s="15"/>
      <c r="BR1236" s="15"/>
    </row>
    <row r="1237" spans="1:70" ht="13.2" x14ac:dyDescent="0.25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26"/>
      <c r="BC1237" s="15"/>
      <c r="BR1237" s="15"/>
    </row>
    <row r="1238" spans="1:70" ht="13.2" x14ac:dyDescent="0.25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26"/>
      <c r="BC1238" s="15"/>
      <c r="BR1238" s="15"/>
    </row>
    <row r="1239" spans="1:70" ht="13.2" x14ac:dyDescent="0.25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26"/>
      <c r="BC1239" s="15"/>
      <c r="BR1239" s="15"/>
    </row>
    <row r="1240" spans="1:70" ht="13.2" x14ac:dyDescent="0.25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26"/>
      <c r="BC1240" s="15"/>
      <c r="BR1240" s="15"/>
    </row>
    <row r="1241" spans="1:70" ht="13.2" x14ac:dyDescent="0.25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26"/>
      <c r="BC1241" s="15"/>
      <c r="BR1241" s="15"/>
    </row>
    <row r="1242" spans="1:70" ht="13.2" x14ac:dyDescent="0.25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26"/>
      <c r="BC1242" s="15"/>
      <c r="BR1242" s="15"/>
    </row>
    <row r="1243" spans="1:70" ht="13.2" x14ac:dyDescent="0.25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26"/>
      <c r="BC1243" s="15"/>
      <c r="BR1243" s="15"/>
    </row>
    <row r="1244" spans="1:70" ht="13.2" x14ac:dyDescent="0.25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26"/>
      <c r="BC1244" s="15"/>
      <c r="BR1244" s="15"/>
    </row>
    <row r="1245" spans="1:70" ht="13.2" x14ac:dyDescent="0.25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26"/>
      <c r="BC1245" s="15"/>
      <c r="BR1245" s="15"/>
    </row>
    <row r="1246" spans="1:70" ht="13.2" x14ac:dyDescent="0.25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26"/>
      <c r="BC1246" s="15"/>
      <c r="BR1246" s="15"/>
    </row>
    <row r="1247" spans="1:70" ht="13.2" x14ac:dyDescent="0.25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26"/>
      <c r="BC1247" s="15"/>
      <c r="BR1247" s="15"/>
    </row>
    <row r="1248" spans="1:70" ht="13.2" x14ac:dyDescent="0.25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26"/>
      <c r="BC1248" s="15"/>
      <c r="BR1248" s="15"/>
    </row>
    <row r="1249" spans="1:70" ht="13.2" x14ac:dyDescent="0.25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26"/>
      <c r="BC1249" s="15"/>
      <c r="BR1249" s="15"/>
    </row>
    <row r="1250" spans="1:70" ht="13.2" x14ac:dyDescent="0.25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26"/>
      <c r="BC1250" s="15"/>
      <c r="BR1250" s="15"/>
    </row>
    <row r="1251" spans="1:70" ht="13.2" x14ac:dyDescent="0.25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26"/>
      <c r="BC1251" s="15"/>
      <c r="BR1251" s="15"/>
    </row>
    <row r="1252" spans="1:70" ht="13.2" x14ac:dyDescent="0.25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26"/>
      <c r="BC1252" s="15"/>
      <c r="BR1252" s="15"/>
    </row>
    <row r="1253" spans="1:70" ht="13.2" x14ac:dyDescent="0.25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26"/>
      <c r="BC1253" s="15"/>
      <c r="BR1253" s="15"/>
    </row>
    <row r="1254" spans="1:70" ht="13.2" x14ac:dyDescent="0.25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26"/>
      <c r="BC1254" s="15"/>
      <c r="BR1254" s="15"/>
    </row>
    <row r="1255" spans="1:70" ht="13.2" x14ac:dyDescent="0.25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26"/>
      <c r="BC1255" s="15"/>
      <c r="BR1255" s="15"/>
    </row>
    <row r="1256" spans="1:70" ht="13.2" x14ac:dyDescent="0.25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26"/>
      <c r="BC1256" s="15"/>
      <c r="BR1256" s="15"/>
    </row>
    <row r="1257" spans="1:70" ht="13.2" x14ac:dyDescent="0.25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26"/>
      <c r="BC1257" s="15"/>
      <c r="BR1257" s="15"/>
    </row>
    <row r="1258" spans="1:70" ht="13.2" x14ac:dyDescent="0.25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26"/>
      <c r="BC1258" s="15"/>
      <c r="BR1258" s="15"/>
    </row>
    <row r="1259" spans="1:70" ht="13.2" x14ac:dyDescent="0.25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26"/>
      <c r="BC1259" s="15"/>
      <c r="BR1259" s="15"/>
    </row>
    <row r="1260" spans="1:70" ht="13.2" x14ac:dyDescent="0.25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26"/>
      <c r="BC1260" s="15"/>
      <c r="BR1260" s="15"/>
    </row>
    <row r="1261" spans="1:70" ht="13.2" x14ac:dyDescent="0.25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26"/>
      <c r="BC1261" s="15"/>
      <c r="BR1261" s="15"/>
    </row>
    <row r="1262" spans="1:70" ht="13.2" x14ac:dyDescent="0.25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26"/>
      <c r="BC1262" s="15"/>
      <c r="BR1262" s="15"/>
    </row>
    <row r="1263" spans="1:70" ht="13.2" x14ac:dyDescent="0.25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26"/>
      <c r="BC1263" s="15"/>
      <c r="BR1263" s="15"/>
    </row>
    <row r="1264" spans="1:70" ht="13.2" x14ac:dyDescent="0.25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26"/>
      <c r="BC1264" s="15"/>
      <c r="BR1264" s="15"/>
    </row>
    <row r="1265" spans="1:70" ht="13.2" x14ac:dyDescent="0.25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26"/>
      <c r="BC1265" s="15"/>
      <c r="BR1265" s="15"/>
    </row>
    <row r="1266" spans="1:70" ht="13.2" x14ac:dyDescent="0.25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26"/>
      <c r="BC1266" s="15"/>
      <c r="BR1266" s="15"/>
    </row>
    <row r="1267" spans="1:70" ht="13.2" x14ac:dyDescent="0.25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26"/>
      <c r="BC1267" s="15"/>
      <c r="BR1267" s="15"/>
    </row>
    <row r="1268" spans="1:70" ht="13.2" x14ac:dyDescent="0.25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26"/>
      <c r="BC1268" s="15"/>
      <c r="BR1268" s="15"/>
    </row>
    <row r="1269" spans="1:70" ht="13.2" x14ac:dyDescent="0.25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26"/>
      <c r="BC1269" s="15"/>
      <c r="BR1269" s="15"/>
    </row>
    <row r="1270" spans="1:70" ht="13.2" x14ac:dyDescent="0.25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26"/>
      <c r="BC1270" s="15"/>
      <c r="BR1270" s="15"/>
    </row>
    <row r="1271" spans="1:70" ht="13.2" x14ac:dyDescent="0.25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26"/>
      <c r="BC1271" s="15"/>
      <c r="BR1271" s="15"/>
    </row>
    <row r="1272" spans="1:70" ht="13.2" x14ac:dyDescent="0.25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26"/>
      <c r="BC1272" s="15"/>
      <c r="BR1272" s="15"/>
    </row>
    <row r="1273" spans="1:70" ht="13.2" x14ac:dyDescent="0.25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26"/>
      <c r="BC1273" s="15"/>
      <c r="BR1273" s="15"/>
    </row>
    <row r="1274" spans="1:70" ht="13.2" x14ac:dyDescent="0.25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26"/>
      <c r="BC1274" s="15"/>
      <c r="BR1274" s="15"/>
    </row>
    <row r="1275" spans="1:70" ht="13.2" x14ac:dyDescent="0.25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26"/>
      <c r="BC1275" s="15"/>
      <c r="BR1275" s="15"/>
    </row>
    <row r="1276" spans="1:70" ht="13.2" x14ac:dyDescent="0.25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26"/>
      <c r="BC1276" s="15"/>
      <c r="BR1276" s="15"/>
    </row>
    <row r="1277" spans="1:70" ht="13.2" x14ac:dyDescent="0.25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26"/>
      <c r="BC1277" s="15"/>
      <c r="BR1277" s="15"/>
    </row>
    <row r="1278" spans="1:70" ht="13.2" x14ac:dyDescent="0.25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26"/>
      <c r="BC1278" s="15"/>
      <c r="BR1278" s="15"/>
    </row>
    <row r="1279" spans="1:70" ht="13.2" x14ac:dyDescent="0.25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26"/>
      <c r="BC1279" s="15"/>
      <c r="BR1279" s="15"/>
    </row>
    <row r="1280" spans="1:70" ht="13.2" x14ac:dyDescent="0.25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26"/>
      <c r="BC1280" s="15"/>
      <c r="BR1280" s="15"/>
    </row>
    <row r="1281" spans="1:70" ht="13.2" x14ac:dyDescent="0.25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26"/>
      <c r="BC1281" s="15"/>
      <c r="BR1281" s="15"/>
    </row>
    <row r="1282" spans="1:70" ht="13.2" x14ac:dyDescent="0.25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26"/>
      <c r="BC1282" s="15"/>
      <c r="BR1282" s="15"/>
    </row>
    <row r="1283" spans="1:70" ht="13.2" x14ac:dyDescent="0.25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26"/>
      <c r="BC1283" s="15"/>
      <c r="BR1283" s="15"/>
    </row>
    <row r="1284" spans="1:70" ht="13.2" x14ac:dyDescent="0.25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26"/>
      <c r="BC1284" s="15"/>
      <c r="BR1284" s="15"/>
    </row>
    <row r="1285" spans="1:70" ht="13.2" x14ac:dyDescent="0.25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26"/>
      <c r="BC1285" s="15"/>
      <c r="BR1285" s="15"/>
    </row>
    <row r="1286" spans="1:70" ht="13.2" x14ac:dyDescent="0.25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26"/>
      <c r="BC1286" s="15"/>
      <c r="BR1286" s="15"/>
    </row>
    <row r="1287" spans="1:70" ht="13.2" x14ac:dyDescent="0.25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26"/>
      <c r="BC1287" s="15"/>
      <c r="BR1287" s="15"/>
    </row>
    <row r="1288" spans="1:70" ht="13.2" x14ac:dyDescent="0.25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26"/>
      <c r="BC1288" s="15"/>
      <c r="BR1288" s="15"/>
    </row>
    <row r="1289" spans="1:70" ht="13.2" x14ac:dyDescent="0.25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26"/>
      <c r="BC1289" s="15"/>
      <c r="BR1289" s="15"/>
    </row>
    <row r="1290" spans="1:70" ht="13.2" x14ac:dyDescent="0.25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26"/>
      <c r="BC1290" s="15"/>
      <c r="BR1290" s="15"/>
    </row>
    <row r="1291" spans="1:70" ht="13.2" x14ac:dyDescent="0.25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26"/>
      <c r="BC1291" s="15"/>
      <c r="BR1291" s="15"/>
    </row>
    <row r="1292" spans="1:70" ht="13.2" x14ac:dyDescent="0.25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26"/>
      <c r="BC1292" s="15"/>
      <c r="BR1292" s="15"/>
    </row>
    <row r="1293" spans="1:70" ht="13.2" x14ac:dyDescent="0.25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26"/>
      <c r="BC1293" s="15"/>
      <c r="BR1293" s="15"/>
    </row>
    <row r="1294" spans="1:70" ht="13.2" x14ac:dyDescent="0.25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26"/>
      <c r="BC1294" s="15"/>
      <c r="BR1294" s="15"/>
    </row>
    <row r="1295" spans="1:70" ht="13.2" x14ac:dyDescent="0.25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26"/>
      <c r="BC1295" s="15"/>
      <c r="BR1295" s="15"/>
    </row>
    <row r="1296" spans="1:70" ht="13.2" x14ac:dyDescent="0.25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26"/>
      <c r="BC1296" s="15"/>
      <c r="BR1296" s="15"/>
    </row>
    <row r="1297" spans="1:70" ht="13.2" x14ac:dyDescent="0.25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26"/>
      <c r="BC1297" s="15"/>
      <c r="BR1297" s="15"/>
    </row>
    <row r="1298" spans="1:70" ht="13.2" x14ac:dyDescent="0.25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26"/>
      <c r="BC1298" s="15"/>
      <c r="BR1298" s="15"/>
    </row>
    <row r="1299" spans="1:70" ht="13.2" x14ac:dyDescent="0.25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26"/>
      <c r="BC1299" s="15"/>
      <c r="BR1299" s="15"/>
    </row>
    <row r="1300" spans="1:70" ht="13.2" x14ac:dyDescent="0.25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26"/>
      <c r="BC1300" s="15"/>
      <c r="BR1300" s="15"/>
    </row>
    <row r="1301" spans="1:70" ht="13.2" x14ac:dyDescent="0.25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26"/>
      <c r="BC1301" s="15"/>
      <c r="BR1301" s="15"/>
    </row>
    <row r="1302" spans="1:70" ht="13.2" x14ac:dyDescent="0.25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26"/>
      <c r="BC1302" s="15"/>
      <c r="BR1302" s="15"/>
    </row>
    <row r="1303" spans="1:70" ht="13.2" x14ac:dyDescent="0.25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26"/>
      <c r="BC1303" s="15"/>
      <c r="BR1303" s="15"/>
    </row>
    <row r="1304" spans="1:70" ht="13.2" x14ac:dyDescent="0.25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26"/>
      <c r="BC1304" s="15"/>
      <c r="BR1304" s="15"/>
    </row>
    <row r="1305" spans="1:70" ht="13.2" x14ac:dyDescent="0.25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26"/>
      <c r="BC1305" s="15"/>
      <c r="BR1305" s="15"/>
    </row>
    <row r="1306" spans="1:70" ht="13.2" x14ac:dyDescent="0.25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26"/>
      <c r="BC1306" s="15"/>
      <c r="BR1306" s="15"/>
    </row>
    <row r="1307" spans="1:70" ht="13.2" x14ac:dyDescent="0.25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26"/>
      <c r="BC1307" s="15"/>
      <c r="BR1307" s="15"/>
    </row>
    <row r="1308" spans="1:70" ht="13.2" x14ac:dyDescent="0.25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26"/>
      <c r="BC1308" s="15"/>
      <c r="BR1308" s="15"/>
    </row>
    <row r="1309" spans="1:70" ht="13.2" x14ac:dyDescent="0.25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26"/>
      <c r="BC1309" s="15"/>
      <c r="BR1309" s="15"/>
    </row>
    <row r="1310" spans="1:70" ht="13.2" x14ac:dyDescent="0.25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26"/>
      <c r="BC1310" s="15"/>
      <c r="BR1310" s="15"/>
    </row>
    <row r="1311" spans="1:70" ht="13.2" x14ac:dyDescent="0.25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26"/>
      <c r="BC1311" s="15"/>
      <c r="BR1311" s="15"/>
    </row>
    <row r="1312" spans="1:70" ht="13.2" x14ac:dyDescent="0.25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26"/>
      <c r="BC1312" s="15"/>
      <c r="BR1312" s="15"/>
    </row>
    <row r="1313" spans="1:70" ht="13.2" x14ac:dyDescent="0.25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26"/>
      <c r="BC1313" s="15"/>
      <c r="BR1313" s="15"/>
    </row>
    <row r="1314" spans="1:70" ht="13.2" x14ac:dyDescent="0.25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26"/>
      <c r="BC1314" s="15"/>
      <c r="BR1314" s="15"/>
    </row>
    <row r="1315" spans="1:70" ht="13.2" x14ac:dyDescent="0.25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26"/>
      <c r="BC1315" s="15"/>
      <c r="BR1315" s="15"/>
    </row>
    <row r="1316" spans="1:70" ht="13.2" x14ac:dyDescent="0.25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26"/>
      <c r="BC1316" s="15"/>
      <c r="BR1316" s="15"/>
    </row>
    <row r="1317" spans="1:70" ht="13.2" x14ac:dyDescent="0.25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26"/>
      <c r="BC1317" s="15"/>
      <c r="BR1317" s="15"/>
    </row>
    <row r="1318" spans="1:70" ht="13.2" x14ac:dyDescent="0.25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26"/>
      <c r="BC1318" s="15"/>
      <c r="BR1318" s="15"/>
    </row>
    <row r="1319" spans="1:70" ht="13.2" x14ac:dyDescent="0.25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26"/>
      <c r="BC1319" s="15"/>
      <c r="BR1319" s="15"/>
    </row>
    <row r="1320" spans="1:70" ht="13.2" x14ac:dyDescent="0.25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26"/>
      <c r="BC1320" s="15"/>
      <c r="BR1320" s="15"/>
    </row>
    <row r="1321" spans="1:70" ht="13.2" x14ac:dyDescent="0.25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26"/>
      <c r="BC1321" s="15"/>
      <c r="BR1321" s="15"/>
    </row>
    <row r="1322" spans="1:70" ht="13.2" x14ac:dyDescent="0.25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26"/>
      <c r="BC1322" s="15"/>
      <c r="BR1322" s="15"/>
    </row>
    <row r="1323" spans="1:70" ht="13.2" x14ac:dyDescent="0.25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26"/>
      <c r="BC1323" s="15"/>
      <c r="BR1323" s="15"/>
    </row>
    <row r="1324" spans="1:70" ht="13.2" x14ac:dyDescent="0.25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26"/>
      <c r="BC1324" s="15"/>
      <c r="BR1324" s="15"/>
    </row>
    <row r="1325" spans="1:70" ht="13.2" x14ac:dyDescent="0.25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26"/>
      <c r="BC1325" s="15"/>
      <c r="BR1325" s="15"/>
    </row>
    <row r="1326" spans="1:70" ht="13.2" x14ac:dyDescent="0.25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26"/>
      <c r="BC1326" s="15"/>
      <c r="BR1326" s="15"/>
    </row>
    <row r="1327" spans="1:70" ht="13.2" x14ac:dyDescent="0.25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26"/>
      <c r="BC1327" s="15"/>
      <c r="BR1327" s="15"/>
    </row>
    <row r="1328" spans="1:70" ht="13.2" x14ac:dyDescent="0.25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26"/>
      <c r="BC1328" s="15"/>
      <c r="BR1328" s="15"/>
    </row>
    <row r="1329" spans="1:70" ht="13.2" x14ac:dyDescent="0.25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26"/>
      <c r="BC1329" s="15"/>
      <c r="BR1329" s="15"/>
    </row>
    <row r="1330" spans="1:70" ht="13.2" x14ac:dyDescent="0.25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26"/>
      <c r="BC1330" s="15"/>
      <c r="BR1330" s="15"/>
    </row>
    <row r="1331" spans="1:70" ht="13.2" x14ac:dyDescent="0.25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26"/>
      <c r="BC1331" s="15"/>
      <c r="BR1331" s="15"/>
    </row>
    <row r="1332" spans="1:70" ht="13.2" x14ac:dyDescent="0.25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26"/>
      <c r="BC1332" s="15"/>
      <c r="BR1332" s="15"/>
    </row>
    <row r="1333" spans="1:70" ht="13.2" x14ac:dyDescent="0.25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26"/>
      <c r="BC1333" s="15"/>
      <c r="BR1333" s="15"/>
    </row>
    <row r="1334" spans="1:70" ht="13.2" x14ac:dyDescent="0.25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26"/>
      <c r="BC1334" s="15"/>
      <c r="BR1334" s="15"/>
    </row>
    <row r="1335" spans="1:70" ht="13.2" x14ac:dyDescent="0.25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26"/>
      <c r="BC1335" s="15"/>
      <c r="BR1335" s="15"/>
    </row>
    <row r="1336" spans="1:70" ht="13.2" x14ac:dyDescent="0.25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26"/>
      <c r="BC1336" s="15"/>
      <c r="BR1336" s="15"/>
    </row>
    <row r="1337" spans="1:70" ht="13.2" x14ac:dyDescent="0.25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26"/>
      <c r="BC1337" s="15"/>
      <c r="BR1337" s="15"/>
    </row>
    <row r="1338" spans="1:70" ht="13.2" x14ac:dyDescent="0.25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26"/>
      <c r="BC1338" s="15"/>
      <c r="BR1338" s="15"/>
    </row>
    <row r="1339" spans="1:70" ht="13.2" x14ac:dyDescent="0.25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26"/>
      <c r="BC1339" s="15"/>
      <c r="BR1339" s="15"/>
    </row>
    <row r="1340" spans="1:70" ht="13.2" x14ac:dyDescent="0.25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26"/>
      <c r="BC1340" s="15"/>
      <c r="BR1340" s="15"/>
    </row>
    <row r="1341" spans="1:70" ht="13.2" x14ac:dyDescent="0.25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26"/>
      <c r="BC1341" s="15"/>
      <c r="BR1341" s="15"/>
    </row>
    <row r="1342" spans="1:70" ht="13.2" x14ac:dyDescent="0.25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26"/>
      <c r="BC1342" s="15"/>
      <c r="BR1342" s="15"/>
    </row>
    <row r="1343" spans="1:70" ht="13.2" x14ac:dyDescent="0.25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26"/>
      <c r="BC1343" s="15"/>
      <c r="BR1343" s="15"/>
    </row>
    <row r="1344" spans="1:70" ht="13.2" x14ac:dyDescent="0.25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26"/>
      <c r="BC1344" s="15"/>
      <c r="BR1344" s="15"/>
    </row>
    <row r="1345" spans="1:70" ht="13.2" x14ac:dyDescent="0.25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26"/>
      <c r="BC1345" s="15"/>
      <c r="BR1345" s="15"/>
    </row>
    <row r="1346" spans="1:70" ht="13.2" x14ac:dyDescent="0.25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26"/>
      <c r="BC1346" s="15"/>
      <c r="BR1346" s="15"/>
    </row>
    <row r="1347" spans="1:70" ht="13.2" x14ac:dyDescent="0.25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26"/>
      <c r="BC1347" s="15"/>
      <c r="BR1347" s="15"/>
    </row>
    <row r="1348" spans="1:70" ht="13.2" x14ac:dyDescent="0.25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26"/>
      <c r="BC1348" s="15"/>
      <c r="BR1348" s="15"/>
    </row>
    <row r="1349" spans="1:70" ht="13.2" x14ac:dyDescent="0.25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26"/>
      <c r="BC1349" s="15"/>
      <c r="BR1349" s="15"/>
    </row>
    <row r="1350" spans="1:70" ht="13.2" x14ac:dyDescent="0.25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26"/>
      <c r="BC1350" s="15"/>
      <c r="BR1350" s="15"/>
    </row>
    <row r="1351" spans="1:70" ht="13.2" x14ac:dyDescent="0.25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26"/>
      <c r="BC1351" s="15"/>
      <c r="BR1351" s="15"/>
    </row>
    <row r="1352" spans="1:70" ht="13.2" x14ac:dyDescent="0.25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26"/>
      <c r="BC1352" s="15"/>
      <c r="BR1352" s="15"/>
    </row>
    <row r="1353" spans="1:70" ht="13.2" x14ac:dyDescent="0.25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26"/>
      <c r="BC1353" s="15"/>
      <c r="BR1353" s="15"/>
    </row>
    <row r="1354" spans="1:70" ht="13.2" x14ac:dyDescent="0.25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26"/>
      <c r="BC1354" s="15"/>
      <c r="BR1354" s="15"/>
    </row>
    <row r="1355" spans="1:70" ht="13.2" x14ac:dyDescent="0.25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26"/>
      <c r="BC1355" s="15"/>
      <c r="BR1355" s="15"/>
    </row>
    <row r="1356" spans="1:70" ht="13.2" x14ac:dyDescent="0.25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26"/>
      <c r="BC1356" s="15"/>
      <c r="BR1356" s="15"/>
    </row>
    <row r="1357" spans="1:70" ht="13.2" x14ac:dyDescent="0.25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26"/>
      <c r="BC1357" s="15"/>
      <c r="BR1357" s="15"/>
    </row>
    <row r="1358" spans="1:70" ht="13.2" x14ac:dyDescent="0.25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26"/>
      <c r="BC1358" s="15"/>
      <c r="BR1358" s="15"/>
    </row>
    <row r="1359" spans="1:70" ht="13.2" x14ac:dyDescent="0.25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26"/>
      <c r="BC1359" s="15"/>
      <c r="BR1359" s="15"/>
    </row>
    <row r="1360" spans="1:70" ht="13.2" x14ac:dyDescent="0.25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26"/>
      <c r="BC1360" s="15"/>
      <c r="BR1360" s="15"/>
    </row>
    <row r="1361" spans="1:70" ht="13.2" x14ac:dyDescent="0.25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26"/>
      <c r="BC1361" s="15"/>
      <c r="BR1361" s="15"/>
    </row>
    <row r="1362" spans="1:70" ht="13.2" x14ac:dyDescent="0.25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26"/>
      <c r="BC1362" s="15"/>
      <c r="BR1362" s="15"/>
    </row>
    <row r="1363" spans="1:70" ht="13.2" x14ac:dyDescent="0.25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26"/>
      <c r="BC1363" s="15"/>
      <c r="BR1363" s="15"/>
    </row>
    <row r="1364" spans="1:70" ht="13.2" x14ac:dyDescent="0.25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26"/>
      <c r="BC1364" s="15"/>
      <c r="BR1364" s="15"/>
    </row>
    <row r="1365" spans="1:70" ht="13.2" x14ac:dyDescent="0.25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26"/>
      <c r="BC1365" s="15"/>
      <c r="BR1365" s="15"/>
    </row>
    <row r="1366" spans="1:70" ht="13.2" x14ac:dyDescent="0.25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26"/>
      <c r="BC1366" s="15"/>
      <c r="BR1366" s="15"/>
    </row>
    <row r="1367" spans="1:70" ht="13.2" x14ac:dyDescent="0.25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26"/>
      <c r="BC1367" s="15"/>
      <c r="BR1367" s="15"/>
    </row>
    <row r="1368" spans="1:70" ht="13.2" x14ac:dyDescent="0.25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26"/>
      <c r="BC1368" s="15"/>
      <c r="BR1368" s="15"/>
    </row>
    <row r="1369" spans="1:70" ht="13.2" x14ac:dyDescent="0.25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26"/>
      <c r="BC1369" s="15"/>
      <c r="BR1369" s="15"/>
    </row>
    <row r="1370" spans="1:70" ht="13.2" x14ac:dyDescent="0.25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26"/>
      <c r="BC1370" s="15"/>
      <c r="BR1370" s="15"/>
    </row>
    <row r="1371" spans="1:70" ht="13.2" x14ac:dyDescent="0.25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26"/>
      <c r="BC1371" s="15"/>
      <c r="BR1371" s="15"/>
    </row>
    <row r="1372" spans="1:70" ht="13.2" x14ac:dyDescent="0.25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26"/>
      <c r="BC1372" s="15"/>
      <c r="BR1372" s="15"/>
    </row>
    <row r="1373" spans="1:70" ht="13.2" x14ac:dyDescent="0.25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26"/>
      <c r="BC1373" s="15"/>
      <c r="BR1373" s="15"/>
    </row>
    <row r="1374" spans="1:70" ht="13.2" x14ac:dyDescent="0.25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26"/>
      <c r="BC1374" s="15"/>
      <c r="BR1374" s="15"/>
    </row>
    <row r="1375" spans="1:70" ht="13.2" x14ac:dyDescent="0.25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26"/>
      <c r="BC1375" s="15"/>
      <c r="BR1375" s="15"/>
    </row>
    <row r="1376" spans="1:70" ht="13.2" x14ac:dyDescent="0.25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26"/>
      <c r="BC1376" s="15"/>
      <c r="BR1376" s="15"/>
    </row>
    <row r="1377" spans="1:70" ht="13.2" x14ac:dyDescent="0.25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26"/>
      <c r="BC1377" s="15"/>
      <c r="BR1377" s="15"/>
    </row>
    <row r="1378" spans="1:70" ht="13.2" x14ac:dyDescent="0.25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26"/>
      <c r="BC1378" s="15"/>
      <c r="BR1378" s="15"/>
    </row>
    <row r="1379" spans="1:70" ht="13.2" x14ac:dyDescent="0.25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26"/>
      <c r="BC1379" s="15"/>
      <c r="BR1379" s="15"/>
    </row>
    <row r="1380" spans="1:70" ht="13.2" x14ac:dyDescent="0.25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26"/>
      <c r="BC1380" s="15"/>
      <c r="BR1380" s="15"/>
    </row>
    <row r="1381" spans="1:70" ht="13.2" x14ac:dyDescent="0.25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26"/>
      <c r="BC1381" s="15"/>
      <c r="BR1381" s="15"/>
    </row>
    <row r="1382" spans="1:70" ht="13.2" x14ac:dyDescent="0.25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26"/>
      <c r="BC1382" s="15"/>
      <c r="BR1382" s="15"/>
    </row>
    <row r="1383" spans="1:70" ht="13.2" x14ac:dyDescent="0.25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26"/>
      <c r="BC1383" s="15"/>
      <c r="BR1383" s="15"/>
    </row>
    <row r="1384" spans="1:70" ht="13.2" x14ac:dyDescent="0.25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26"/>
      <c r="BC1384" s="15"/>
      <c r="BR1384" s="15"/>
    </row>
    <row r="1385" spans="1:70" ht="13.2" x14ac:dyDescent="0.25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26"/>
      <c r="BC1385" s="15"/>
      <c r="BR1385" s="15"/>
    </row>
    <row r="1386" spans="1:70" ht="13.2" x14ac:dyDescent="0.25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26"/>
      <c r="BC1386" s="15"/>
      <c r="BR1386" s="15"/>
    </row>
    <row r="1387" spans="1:70" ht="13.2" x14ac:dyDescent="0.25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26"/>
      <c r="BC1387" s="15"/>
      <c r="BR1387" s="15"/>
    </row>
    <row r="1388" spans="1:70" ht="13.2" x14ac:dyDescent="0.25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26"/>
      <c r="BC1388" s="15"/>
      <c r="BR1388" s="15"/>
    </row>
    <row r="1389" spans="1:70" ht="13.2" x14ac:dyDescent="0.25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26"/>
      <c r="BC1389" s="15"/>
      <c r="BR1389" s="15"/>
    </row>
    <row r="1390" spans="1:70" ht="13.2" x14ac:dyDescent="0.25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26"/>
      <c r="BC1390" s="15"/>
      <c r="BR1390" s="15"/>
    </row>
    <row r="1391" spans="1:70" ht="13.2" x14ac:dyDescent="0.25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26"/>
      <c r="BC1391" s="15"/>
      <c r="BR1391" s="15"/>
    </row>
    <row r="1392" spans="1:70" ht="13.2" x14ac:dyDescent="0.25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26"/>
      <c r="BC1392" s="15"/>
      <c r="BR1392" s="15"/>
    </row>
    <row r="1393" spans="1:70" ht="13.2" x14ac:dyDescent="0.25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26"/>
      <c r="BC1393" s="15"/>
      <c r="BR1393" s="15"/>
    </row>
    <row r="1394" spans="1:70" ht="13.2" x14ac:dyDescent="0.25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26"/>
      <c r="BC1394" s="15"/>
      <c r="BR1394" s="15"/>
    </row>
    <row r="1395" spans="1:70" ht="13.2" x14ac:dyDescent="0.25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26"/>
      <c r="BC1395" s="15"/>
      <c r="BR1395" s="15"/>
    </row>
    <row r="1396" spans="1:70" ht="13.2" x14ac:dyDescent="0.25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26"/>
      <c r="BC1396" s="15"/>
      <c r="BR1396" s="15"/>
    </row>
    <row r="1397" spans="1:70" ht="13.2" x14ac:dyDescent="0.25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26"/>
      <c r="BC1397" s="15"/>
      <c r="BR1397" s="15"/>
    </row>
    <row r="1398" spans="1:70" ht="13.2" x14ac:dyDescent="0.25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26"/>
      <c r="BC1398" s="15"/>
      <c r="BR1398" s="15"/>
    </row>
    <row r="1399" spans="1:70" ht="13.2" x14ac:dyDescent="0.25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26"/>
      <c r="BC1399" s="15"/>
      <c r="BR1399" s="15"/>
    </row>
    <row r="1400" spans="1:70" ht="13.2" x14ac:dyDescent="0.25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26"/>
      <c r="BC1400" s="15"/>
      <c r="BR1400" s="15"/>
    </row>
    <row r="1401" spans="1:70" ht="13.2" x14ac:dyDescent="0.25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26"/>
      <c r="BC1401" s="15"/>
      <c r="BR1401" s="15"/>
    </row>
    <row r="1402" spans="1:70" ht="13.2" x14ac:dyDescent="0.25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26"/>
      <c r="BC1402" s="15"/>
      <c r="BR1402" s="15"/>
    </row>
    <row r="1403" spans="1:70" ht="13.2" x14ac:dyDescent="0.25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26"/>
      <c r="BC1403" s="15"/>
      <c r="BR1403" s="15"/>
    </row>
    <row r="1404" spans="1:70" ht="13.2" x14ac:dyDescent="0.25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26"/>
      <c r="BC1404" s="15"/>
      <c r="BR1404" s="15"/>
    </row>
    <row r="1405" spans="1:70" ht="13.2" x14ac:dyDescent="0.25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26"/>
      <c r="BC1405" s="15"/>
      <c r="BR1405" s="15"/>
    </row>
    <row r="1406" spans="1:70" ht="13.2" x14ac:dyDescent="0.25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26"/>
      <c r="BC1406" s="15"/>
      <c r="BR1406" s="15"/>
    </row>
    <row r="1407" spans="1:70" ht="13.2" x14ac:dyDescent="0.25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26"/>
      <c r="BC1407" s="15"/>
      <c r="BR1407" s="15"/>
    </row>
    <row r="1408" spans="1:70" ht="13.2" x14ac:dyDescent="0.25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26"/>
      <c r="BC1408" s="15"/>
      <c r="BR1408" s="15"/>
    </row>
    <row r="1409" spans="1:70" ht="13.2" x14ac:dyDescent="0.25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26"/>
      <c r="BC1409" s="15"/>
      <c r="BR1409" s="15"/>
    </row>
    <row r="1410" spans="1:70" ht="13.2" x14ac:dyDescent="0.25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26"/>
      <c r="BC1410" s="15"/>
      <c r="BR1410" s="15"/>
    </row>
    <row r="1411" spans="1:70" ht="13.2" x14ac:dyDescent="0.25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26"/>
      <c r="BC1411" s="15"/>
      <c r="BR1411" s="15"/>
    </row>
    <row r="1412" spans="1:70" ht="13.2" x14ac:dyDescent="0.25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26"/>
      <c r="BC1412" s="15"/>
      <c r="BR1412" s="15"/>
    </row>
    <row r="1413" spans="1:70" ht="13.2" x14ac:dyDescent="0.25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26"/>
      <c r="BC1413" s="15"/>
      <c r="BR1413" s="15"/>
    </row>
    <row r="1414" spans="1:70" ht="13.2" x14ac:dyDescent="0.25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26"/>
      <c r="BC1414" s="15"/>
      <c r="BR1414" s="15"/>
    </row>
    <row r="1415" spans="1:70" ht="13.2" x14ac:dyDescent="0.25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26"/>
      <c r="BC1415" s="15"/>
      <c r="BR1415" s="15"/>
    </row>
    <row r="1416" spans="1:70" ht="13.2" x14ac:dyDescent="0.25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26"/>
      <c r="BC1416" s="15"/>
      <c r="BR1416" s="15"/>
    </row>
    <row r="1417" spans="1:70" ht="13.2" x14ac:dyDescent="0.25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26"/>
      <c r="BC1417" s="15"/>
      <c r="BR1417" s="15"/>
    </row>
    <row r="1418" spans="1:70" ht="13.2" x14ac:dyDescent="0.25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26"/>
      <c r="BC1418" s="15"/>
      <c r="BR1418" s="15"/>
    </row>
    <row r="1419" spans="1:70" ht="13.2" x14ac:dyDescent="0.25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26"/>
      <c r="BC1419" s="15"/>
      <c r="BR1419" s="15"/>
    </row>
    <row r="1420" spans="1:70" ht="13.2" x14ac:dyDescent="0.25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26"/>
      <c r="BC1420" s="15"/>
      <c r="BR1420" s="15"/>
    </row>
    <row r="1421" spans="1:70" ht="13.2" x14ac:dyDescent="0.25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26"/>
      <c r="BC1421" s="15"/>
      <c r="BR1421" s="15"/>
    </row>
    <row r="1422" spans="1:70" ht="13.2" x14ac:dyDescent="0.25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26"/>
      <c r="BC1422" s="15"/>
      <c r="BR1422" s="15"/>
    </row>
    <row r="1423" spans="1:70" ht="13.2" x14ac:dyDescent="0.25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26"/>
      <c r="BC1423" s="15"/>
      <c r="BR1423" s="15"/>
    </row>
    <row r="1424" spans="1:70" ht="13.2" x14ac:dyDescent="0.25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26"/>
      <c r="BC1424" s="15"/>
      <c r="BR1424" s="15"/>
    </row>
    <row r="1425" spans="1:70" ht="13.2" x14ac:dyDescent="0.25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26"/>
      <c r="BC1425" s="15"/>
      <c r="BR1425" s="15"/>
    </row>
    <row r="1426" spans="1:70" ht="13.2" x14ac:dyDescent="0.25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26"/>
      <c r="BC1426" s="15"/>
      <c r="BR1426" s="15"/>
    </row>
    <row r="1427" spans="1:70" ht="13.2" x14ac:dyDescent="0.25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26"/>
      <c r="BC1427" s="15"/>
      <c r="BR1427" s="15"/>
    </row>
    <row r="1428" spans="1:70" ht="13.2" x14ac:dyDescent="0.25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26"/>
      <c r="BC1428" s="15"/>
      <c r="BR1428" s="15"/>
    </row>
    <row r="1429" spans="1:70" ht="13.2" x14ac:dyDescent="0.25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26"/>
      <c r="BC1429" s="15"/>
      <c r="BR1429" s="15"/>
    </row>
    <row r="1430" spans="1:70" ht="13.2" x14ac:dyDescent="0.25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26"/>
      <c r="BC1430" s="15"/>
      <c r="BR1430" s="15"/>
    </row>
    <row r="1431" spans="1:70" ht="13.2" x14ac:dyDescent="0.25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26"/>
      <c r="BC1431" s="15"/>
      <c r="BR1431" s="15"/>
    </row>
    <row r="1432" spans="1:70" ht="13.2" x14ac:dyDescent="0.25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26"/>
      <c r="BC1432" s="15"/>
      <c r="BR1432" s="15"/>
    </row>
    <row r="1433" spans="1:70" ht="13.2" x14ac:dyDescent="0.25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26"/>
      <c r="BC1433" s="15"/>
      <c r="BR1433" s="15"/>
    </row>
    <row r="1434" spans="1:70" ht="13.2" x14ac:dyDescent="0.25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26"/>
      <c r="BC1434" s="15"/>
      <c r="BR1434" s="15"/>
    </row>
    <row r="1435" spans="1:70" ht="13.2" x14ac:dyDescent="0.25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26"/>
      <c r="BC1435" s="15"/>
      <c r="BR1435" s="15"/>
    </row>
    <row r="1436" spans="1:70" ht="13.2" x14ac:dyDescent="0.25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26"/>
      <c r="BC1436" s="15"/>
      <c r="BR1436" s="15"/>
    </row>
    <row r="1437" spans="1:70" ht="13.2" x14ac:dyDescent="0.25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26"/>
      <c r="BC1437" s="15"/>
      <c r="BR1437" s="15"/>
    </row>
    <row r="1438" spans="1:70" ht="13.2" x14ac:dyDescent="0.25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26"/>
      <c r="BC1438" s="15"/>
      <c r="BR1438" s="15"/>
    </row>
    <row r="1439" spans="1:70" ht="13.2" x14ac:dyDescent="0.25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26"/>
      <c r="BC1439" s="15"/>
      <c r="BR1439" s="15"/>
    </row>
    <row r="1440" spans="1:70" ht="13.2" x14ac:dyDescent="0.25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26"/>
      <c r="BC1440" s="15"/>
      <c r="BR1440" s="15"/>
    </row>
    <row r="1441" spans="1:70" ht="13.2" x14ac:dyDescent="0.25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26"/>
      <c r="BC1441" s="15"/>
      <c r="BR1441" s="15"/>
    </row>
    <row r="1442" spans="1:70" ht="13.2" x14ac:dyDescent="0.25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26"/>
      <c r="BC1442" s="15"/>
      <c r="BR1442" s="15"/>
    </row>
    <row r="1443" spans="1:70" ht="13.2" x14ac:dyDescent="0.25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26"/>
      <c r="BC1443" s="15"/>
      <c r="BR1443" s="15"/>
    </row>
    <row r="1444" spans="1:70" ht="13.2" x14ac:dyDescent="0.25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26"/>
      <c r="BC1444" s="15"/>
      <c r="BR1444" s="15"/>
    </row>
    <row r="1445" spans="1:70" ht="13.2" x14ac:dyDescent="0.25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26"/>
      <c r="BC1445" s="15"/>
      <c r="BR1445" s="15"/>
    </row>
    <row r="1446" spans="1:70" ht="13.2" x14ac:dyDescent="0.25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26"/>
      <c r="BC1446" s="15"/>
      <c r="BR1446" s="15"/>
    </row>
    <row r="1447" spans="1:70" ht="13.2" x14ac:dyDescent="0.25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26"/>
      <c r="BC1447" s="15"/>
      <c r="BR1447" s="15"/>
    </row>
    <row r="1448" spans="1:70" ht="13.2" x14ac:dyDescent="0.25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26"/>
      <c r="BC1448" s="15"/>
      <c r="BR1448" s="15"/>
    </row>
    <row r="1449" spans="1:70" ht="13.2" x14ac:dyDescent="0.25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26"/>
      <c r="BC1449" s="15"/>
      <c r="BR1449" s="15"/>
    </row>
    <row r="1450" spans="1:70" ht="13.2" x14ac:dyDescent="0.25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26"/>
      <c r="BC1450" s="15"/>
      <c r="BR1450" s="15"/>
    </row>
    <row r="1451" spans="1:70" ht="13.2" x14ac:dyDescent="0.25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26"/>
      <c r="BC1451" s="15"/>
      <c r="BR1451" s="15"/>
    </row>
    <row r="1452" spans="1:70" ht="13.2" x14ac:dyDescent="0.25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26"/>
      <c r="BC1452" s="15"/>
      <c r="BR1452" s="15"/>
    </row>
    <row r="1453" spans="1:70" ht="13.2" x14ac:dyDescent="0.25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26"/>
      <c r="BC1453" s="15"/>
      <c r="BR1453" s="15"/>
    </row>
    <row r="1454" spans="1:70" ht="13.2" x14ac:dyDescent="0.25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26"/>
      <c r="BC1454" s="15"/>
      <c r="BR1454" s="15"/>
    </row>
    <row r="1455" spans="1:70" ht="13.2" x14ac:dyDescent="0.25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26"/>
      <c r="BC1455" s="15"/>
      <c r="BR1455" s="15"/>
    </row>
    <row r="1456" spans="1:70" ht="13.2" x14ac:dyDescent="0.25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26"/>
      <c r="BC1456" s="15"/>
      <c r="BR1456" s="15"/>
    </row>
    <row r="1457" spans="1:70" ht="13.2" x14ac:dyDescent="0.25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26"/>
      <c r="BC1457" s="15"/>
      <c r="BR1457" s="15"/>
    </row>
    <row r="1458" spans="1:70" ht="13.2" x14ac:dyDescent="0.25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26"/>
      <c r="BC1458" s="15"/>
      <c r="BR1458" s="15"/>
    </row>
    <row r="1459" spans="1:70" ht="13.2" x14ac:dyDescent="0.25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26"/>
      <c r="BC1459" s="15"/>
      <c r="BR1459" s="15"/>
    </row>
    <row r="1460" spans="1:70" ht="13.2" x14ac:dyDescent="0.25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26"/>
      <c r="BC1460" s="15"/>
      <c r="BR1460" s="15"/>
    </row>
    <row r="1461" spans="1:70" ht="13.2" x14ac:dyDescent="0.25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26"/>
      <c r="BC1461" s="15"/>
      <c r="BR1461" s="15"/>
    </row>
    <row r="1462" spans="1:70" ht="13.2" x14ac:dyDescent="0.25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26"/>
      <c r="BC1462" s="15"/>
      <c r="BR1462" s="15"/>
    </row>
    <row r="1463" spans="1:70" ht="13.2" x14ac:dyDescent="0.25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26"/>
      <c r="BC1463" s="15"/>
      <c r="BR1463" s="15"/>
    </row>
    <row r="1464" spans="1:70" ht="13.2" x14ac:dyDescent="0.25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26"/>
      <c r="BC1464" s="15"/>
      <c r="BR1464" s="15"/>
    </row>
    <row r="1465" spans="1:70" ht="13.2" x14ac:dyDescent="0.25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26"/>
      <c r="BC1465" s="15"/>
      <c r="BR1465" s="15"/>
    </row>
    <row r="1466" spans="1:70" ht="13.2" x14ac:dyDescent="0.25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26"/>
      <c r="BC1466" s="15"/>
      <c r="BR1466" s="15"/>
    </row>
    <row r="1467" spans="1:70" ht="13.2" x14ac:dyDescent="0.25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26"/>
      <c r="BC1467" s="15"/>
      <c r="BR1467" s="15"/>
    </row>
    <row r="1468" spans="1:70" ht="13.2" x14ac:dyDescent="0.25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26"/>
      <c r="BC1468" s="15"/>
      <c r="BR1468" s="15"/>
    </row>
    <row r="1469" spans="1:70" ht="13.2" x14ac:dyDescent="0.25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26"/>
      <c r="BC1469" s="15"/>
      <c r="BR1469" s="15"/>
    </row>
    <row r="1470" spans="1:70" ht="13.2" x14ac:dyDescent="0.25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26"/>
      <c r="BC1470" s="15"/>
      <c r="BR1470" s="15"/>
    </row>
    <row r="1471" spans="1:70" ht="13.2" x14ac:dyDescent="0.25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26"/>
      <c r="BC1471" s="15"/>
      <c r="BR1471" s="15"/>
    </row>
    <row r="1472" spans="1:70" ht="13.2" x14ac:dyDescent="0.25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26"/>
      <c r="BC1472" s="15"/>
      <c r="BR1472" s="15"/>
    </row>
    <row r="1473" spans="1:70" ht="13.2" x14ac:dyDescent="0.25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26"/>
      <c r="BC1473" s="15"/>
      <c r="BR1473" s="15"/>
    </row>
    <row r="1474" spans="1:70" ht="13.2" x14ac:dyDescent="0.25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26"/>
      <c r="BC1474" s="15"/>
      <c r="BR1474" s="15"/>
    </row>
    <row r="1475" spans="1:70" ht="13.2" x14ac:dyDescent="0.25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26"/>
      <c r="BC1475" s="15"/>
      <c r="BR1475" s="15"/>
    </row>
    <row r="1476" spans="1:70" ht="13.2" x14ac:dyDescent="0.25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26"/>
      <c r="BC1476" s="15"/>
      <c r="BR1476" s="15"/>
    </row>
    <row r="1477" spans="1:70" ht="13.2" x14ac:dyDescent="0.25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26"/>
      <c r="BC1477" s="15"/>
      <c r="BR1477" s="15"/>
    </row>
    <row r="1478" spans="1:70" ht="13.2" x14ac:dyDescent="0.25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26"/>
      <c r="BC1478" s="15"/>
      <c r="BR1478" s="15"/>
    </row>
    <row r="1479" spans="1:70" ht="13.2" x14ac:dyDescent="0.25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26"/>
      <c r="BC1479" s="15"/>
      <c r="BR1479" s="15"/>
    </row>
    <row r="1480" spans="1:70" ht="13.2" x14ac:dyDescent="0.25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26"/>
      <c r="BC1480" s="15"/>
      <c r="BR1480" s="15"/>
    </row>
    <row r="1481" spans="1:70" ht="13.2" x14ac:dyDescent="0.25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26"/>
      <c r="BC1481" s="15"/>
      <c r="BR1481" s="15"/>
    </row>
    <row r="1482" spans="1:70" ht="13.2" x14ac:dyDescent="0.25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26"/>
      <c r="BC1482" s="15"/>
      <c r="BR1482" s="15"/>
    </row>
    <row r="1483" spans="1:70" ht="13.2" x14ac:dyDescent="0.25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26"/>
      <c r="BC1483" s="15"/>
      <c r="BR1483" s="15"/>
    </row>
    <row r="1484" spans="1:70" ht="13.2" x14ac:dyDescent="0.25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26"/>
      <c r="BC1484" s="15"/>
      <c r="BR1484" s="15"/>
    </row>
    <row r="1485" spans="1:70" ht="13.2" x14ac:dyDescent="0.25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26"/>
      <c r="BC1485" s="15"/>
      <c r="BR1485" s="15"/>
    </row>
    <row r="1486" spans="1:70" ht="13.2" x14ac:dyDescent="0.25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26"/>
      <c r="BC1486" s="15"/>
      <c r="BR1486" s="15"/>
    </row>
    <row r="1487" spans="1:70" ht="13.2" x14ac:dyDescent="0.25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26"/>
      <c r="BC1487" s="15"/>
      <c r="BR1487" s="15"/>
    </row>
    <row r="1488" spans="1:70" ht="13.2" x14ac:dyDescent="0.25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26"/>
      <c r="BC1488" s="15"/>
      <c r="BR1488" s="15"/>
    </row>
    <row r="1489" spans="1:70" ht="13.2" x14ac:dyDescent="0.25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26"/>
      <c r="BC1489" s="15"/>
      <c r="BR1489" s="15"/>
    </row>
    <row r="1490" spans="1:70" ht="13.2" x14ac:dyDescent="0.25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26"/>
      <c r="BC1490" s="15"/>
      <c r="BR1490" s="15"/>
    </row>
    <row r="1491" spans="1:70" ht="13.2" x14ac:dyDescent="0.25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26"/>
      <c r="BC1491" s="15"/>
      <c r="BR1491" s="15"/>
    </row>
    <row r="1492" spans="1:70" ht="13.2" x14ac:dyDescent="0.25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26"/>
      <c r="BC1492" s="15"/>
      <c r="BR1492" s="15"/>
    </row>
    <row r="1493" spans="1:70" ht="13.2" x14ac:dyDescent="0.25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26"/>
      <c r="BC1493" s="15"/>
      <c r="BR1493" s="15"/>
    </row>
    <row r="1494" spans="1:70" ht="13.2" x14ac:dyDescent="0.25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26"/>
      <c r="BC1494" s="15"/>
      <c r="BR1494" s="15"/>
    </row>
    <row r="1495" spans="1:70" ht="13.2" x14ac:dyDescent="0.25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26"/>
      <c r="BC1495" s="15"/>
      <c r="BR1495" s="15"/>
    </row>
    <row r="1496" spans="1:70" ht="13.2" x14ac:dyDescent="0.25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26"/>
      <c r="BC1496" s="15"/>
      <c r="BR1496" s="15"/>
    </row>
    <row r="1497" spans="1:70" ht="13.2" x14ac:dyDescent="0.25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26"/>
      <c r="BC1497" s="15"/>
      <c r="BR1497" s="15"/>
    </row>
    <row r="1498" spans="1:70" ht="13.2" x14ac:dyDescent="0.25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26"/>
      <c r="BC1498" s="15"/>
      <c r="BR1498" s="15"/>
    </row>
    <row r="1499" spans="1:70" ht="13.2" x14ac:dyDescent="0.25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26"/>
      <c r="BC1499" s="15"/>
      <c r="BR1499" s="15"/>
    </row>
    <row r="1500" spans="1:70" ht="13.2" x14ac:dyDescent="0.25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26"/>
      <c r="BC1500" s="15"/>
      <c r="BR1500" s="15"/>
    </row>
    <row r="1501" spans="1:70" ht="13.2" x14ac:dyDescent="0.25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26"/>
      <c r="BC1501" s="15"/>
      <c r="BR1501" s="15"/>
    </row>
    <row r="1502" spans="1:70" ht="13.2" x14ac:dyDescent="0.25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26"/>
      <c r="BC1502" s="15"/>
      <c r="BR1502" s="15"/>
    </row>
    <row r="1503" spans="1:70" ht="13.2" x14ac:dyDescent="0.25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26"/>
      <c r="BC1503" s="15"/>
      <c r="BR1503" s="15"/>
    </row>
    <row r="1504" spans="1:70" ht="13.2" x14ac:dyDescent="0.25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26"/>
      <c r="BC1504" s="15"/>
      <c r="BR1504" s="15"/>
    </row>
    <row r="1505" spans="1:70" ht="13.2" x14ac:dyDescent="0.25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26"/>
      <c r="BC1505" s="15"/>
      <c r="BR1505" s="15"/>
    </row>
    <row r="1506" spans="1:70" ht="13.2" x14ac:dyDescent="0.25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26"/>
      <c r="BC1506" s="15"/>
      <c r="BR1506" s="15"/>
    </row>
    <row r="1507" spans="1:70" ht="13.2" x14ac:dyDescent="0.25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26"/>
      <c r="BC1507" s="15"/>
      <c r="BR1507" s="15"/>
    </row>
    <row r="1508" spans="1:70" ht="13.2" x14ac:dyDescent="0.25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26"/>
      <c r="BC1508" s="15"/>
      <c r="BR1508" s="15"/>
    </row>
    <row r="1509" spans="1:70" ht="13.2" x14ac:dyDescent="0.25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26"/>
      <c r="BC1509" s="15"/>
      <c r="BR1509" s="15"/>
    </row>
    <row r="1510" spans="1:70" ht="13.2" x14ac:dyDescent="0.25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26"/>
      <c r="BC1510" s="15"/>
      <c r="BR1510" s="15"/>
    </row>
    <row r="1511" spans="1:70" ht="13.2" x14ac:dyDescent="0.25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26"/>
      <c r="BC1511" s="15"/>
      <c r="BR1511" s="15"/>
    </row>
    <row r="1512" spans="1:70" ht="13.2" x14ac:dyDescent="0.25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26"/>
      <c r="BC1512" s="15"/>
      <c r="BR1512" s="15"/>
    </row>
    <row r="1513" spans="1:70" ht="13.2" x14ac:dyDescent="0.25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26"/>
      <c r="BC1513" s="15"/>
      <c r="BR1513" s="15"/>
    </row>
    <row r="1514" spans="1:70" ht="13.2" x14ac:dyDescent="0.25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26"/>
      <c r="BC1514" s="15"/>
      <c r="BR1514" s="15"/>
    </row>
    <row r="1515" spans="1:70" ht="13.2" x14ac:dyDescent="0.25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26"/>
      <c r="BC1515" s="15"/>
      <c r="BR1515" s="15"/>
    </row>
    <row r="1516" spans="1:70" ht="13.2" x14ac:dyDescent="0.25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26"/>
      <c r="BC1516" s="15"/>
      <c r="BR1516" s="15"/>
    </row>
    <row r="1517" spans="1:70" ht="13.2" x14ac:dyDescent="0.25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26"/>
      <c r="BC1517" s="15"/>
      <c r="BR1517" s="15"/>
    </row>
    <row r="1518" spans="1:70" ht="13.2" x14ac:dyDescent="0.25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26"/>
      <c r="BC1518" s="15"/>
      <c r="BR1518" s="15"/>
    </row>
    <row r="1519" spans="1:70" ht="13.2" x14ac:dyDescent="0.25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26"/>
      <c r="BC1519" s="15"/>
      <c r="BR1519" s="15"/>
    </row>
    <row r="1520" spans="1:70" ht="13.2" x14ac:dyDescent="0.25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26"/>
      <c r="BC1520" s="15"/>
      <c r="BR1520" s="15"/>
    </row>
    <row r="1521" spans="1:70" ht="13.2" x14ac:dyDescent="0.25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26"/>
      <c r="BC1521" s="15"/>
      <c r="BR1521" s="15"/>
    </row>
    <row r="1522" spans="1:70" ht="13.2" x14ac:dyDescent="0.25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26"/>
      <c r="BC1522" s="15"/>
      <c r="BR1522" s="15"/>
    </row>
    <row r="1523" spans="1:70" ht="13.2" x14ac:dyDescent="0.25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26"/>
      <c r="BC1523" s="15"/>
      <c r="BR1523" s="15"/>
    </row>
    <row r="1524" spans="1:70" ht="13.2" x14ac:dyDescent="0.25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26"/>
      <c r="BC1524" s="15"/>
      <c r="BR1524" s="15"/>
    </row>
    <row r="1525" spans="1:70" ht="13.2" x14ac:dyDescent="0.25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26"/>
      <c r="BC1525" s="15"/>
      <c r="BR1525" s="15"/>
    </row>
    <row r="1526" spans="1:70" ht="13.2" x14ac:dyDescent="0.25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26"/>
      <c r="BC1526" s="15"/>
      <c r="BR1526" s="15"/>
    </row>
    <row r="1527" spans="1:70" ht="13.2" x14ac:dyDescent="0.25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26"/>
      <c r="BC1527" s="15"/>
      <c r="BR1527" s="15"/>
    </row>
    <row r="1528" spans="1:70" ht="13.2" x14ac:dyDescent="0.25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26"/>
      <c r="BC1528" s="15"/>
      <c r="BR1528" s="15"/>
    </row>
    <row r="1529" spans="1:70" ht="13.2" x14ac:dyDescent="0.25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26"/>
      <c r="BC1529" s="15"/>
      <c r="BR1529" s="15"/>
    </row>
    <row r="1530" spans="1:70" ht="13.2" x14ac:dyDescent="0.25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26"/>
      <c r="BC1530" s="15"/>
      <c r="BR1530" s="15"/>
    </row>
    <row r="1531" spans="1:70" ht="13.2" x14ac:dyDescent="0.25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26"/>
      <c r="BC1531" s="15"/>
      <c r="BR1531" s="15"/>
    </row>
    <row r="1532" spans="1:70" ht="13.2" x14ac:dyDescent="0.25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26"/>
      <c r="BC1532" s="15"/>
      <c r="BR1532" s="15"/>
    </row>
    <row r="1533" spans="1:70" ht="13.2" x14ac:dyDescent="0.25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26"/>
      <c r="BC1533" s="15"/>
      <c r="BR1533" s="15"/>
    </row>
    <row r="1534" spans="1:70" ht="13.2" x14ac:dyDescent="0.25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26"/>
      <c r="BC1534" s="15"/>
      <c r="BR1534" s="15"/>
    </row>
    <row r="1535" spans="1:70" ht="13.2" x14ac:dyDescent="0.25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26"/>
      <c r="BC1535" s="15"/>
      <c r="BR1535" s="15"/>
    </row>
    <row r="1536" spans="1:70" ht="13.2" x14ac:dyDescent="0.25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26"/>
      <c r="BC1536" s="15"/>
      <c r="BR1536" s="15"/>
    </row>
    <row r="1537" spans="1:70" ht="13.2" x14ac:dyDescent="0.25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26"/>
      <c r="BC1537" s="15"/>
      <c r="BR1537" s="15"/>
    </row>
    <row r="1538" spans="1:70" ht="13.2" x14ac:dyDescent="0.25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26"/>
      <c r="BC1538" s="15"/>
      <c r="BR1538" s="15"/>
    </row>
    <row r="1539" spans="1:70" ht="13.2" x14ac:dyDescent="0.25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26"/>
      <c r="BC1539" s="15"/>
      <c r="BR1539" s="15"/>
    </row>
    <row r="1540" spans="1:70" ht="13.2" x14ac:dyDescent="0.25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26"/>
      <c r="BC1540" s="15"/>
      <c r="BR1540" s="15"/>
    </row>
    <row r="1541" spans="1:70" ht="13.2" x14ac:dyDescent="0.25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26"/>
      <c r="BC1541" s="15"/>
      <c r="BR1541" s="15"/>
    </row>
    <row r="1542" spans="1:70" ht="13.2" x14ac:dyDescent="0.25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26"/>
      <c r="BC1542" s="15"/>
      <c r="BR1542" s="15"/>
    </row>
    <row r="1543" spans="1:70" ht="13.2" x14ac:dyDescent="0.25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26"/>
      <c r="BC1543" s="15"/>
      <c r="BR1543" s="15"/>
    </row>
    <row r="1544" spans="1:70" ht="13.2" x14ac:dyDescent="0.25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26"/>
      <c r="BC1544" s="15"/>
      <c r="BR1544" s="15"/>
    </row>
    <row r="1545" spans="1:70" ht="13.2" x14ac:dyDescent="0.25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26"/>
      <c r="BC1545" s="15"/>
      <c r="BR1545" s="15"/>
    </row>
    <row r="1546" spans="1:70" ht="13.2" x14ac:dyDescent="0.25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26"/>
      <c r="BC1546" s="15"/>
      <c r="BR1546" s="15"/>
    </row>
    <row r="1547" spans="1:70" ht="13.2" x14ac:dyDescent="0.25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26"/>
      <c r="BC1547" s="15"/>
      <c r="BR1547" s="15"/>
    </row>
    <row r="1548" spans="1:70" ht="13.2" x14ac:dyDescent="0.25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26"/>
      <c r="BC1548" s="15"/>
      <c r="BR1548" s="15"/>
    </row>
    <row r="1549" spans="1:70" ht="13.2" x14ac:dyDescent="0.25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26"/>
      <c r="BC1549" s="15"/>
      <c r="BR1549" s="15"/>
    </row>
    <row r="1550" spans="1:70" ht="13.2" x14ac:dyDescent="0.25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26"/>
      <c r="BC1550" s="15"/>
      <c r="BR1550" s="15"/>
    </row>
    <row r="1551" spans="1:70" ht="13.2" x14ac:dyDescent="0.25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26"/>
      <c r="BC1551" s="15"/>
      <c r="BR1551" s="15"/>
    </row>
    <row r="1552" spans="1:70" ht="13.2" x14ac:dyDescent="0.25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26"/>
      <c r="BC1552" s="15"/>
      <c r="BR1552" s="15"/>
    </row>
    <row r="1553" spans="1:70" ht="13.2" x14ac:dyDescent="0.25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26"/>
      <c r="BC1553" s="15"/>
      <c r="BR1553" s="15"/>
    </row>
    <row r="1554" spans="1:70" ht="13.2" x14ac:dyDescent="0.25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26"/>
      <c r="BC1554" s="15"/>
      <c r="BR1554" s="15"/>
    </row>
    <row r="1555" spans="1:70" ht="13.2" x14ac:dyDescent="0.25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26"/>
      <c r="BC1555" s="15"/>
      <c r="BR1555" s="15"/>
    </row>
    <row r="1556" spans="1:70" ht="13.2" x14ac:dyDescent="0.25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26"/>
      <c r="BC1556" s="15"/>
      <c r="BR1556" s="15"/>
    </row>
    <row r="1557" spans="1:70" ht="13.2" x14ac:dyDescent="0.25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26"/>
      <c r="BC1557" s="15"/>
      <c r="BR1557" s="15"/>
    </row>
    <row r="1558" spans="1:70" ht="13.2" x14ac:dyDescent="0.25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26"/>
      <c r="BC1558" s="15"/>
      <c r="BR1558" s="15"/>
    </row>
    <row r="1559" spans="1:70" ht="13.2" x14ac:dyDescent="0.25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26"/>
      <c r="BC1559" s="15"/>
      <c r="BR1559" s="15"/>
    </row>
    <row r="1560" spans="1:70" ht="13.2" x14ac:dyDescent="0.25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26"/>
      <c r="BC1560" s="15"/>
      <c r="BR1560" s="15"/>
    </row>
    <row r="1561" spans="1:70" ht="13.2" x14ac:dyDescent="0.25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26"/>
      <c r="BC1561" s="15"/>
      <c r="BR1561" s="15"/>
    </row>
    <row r="1562" spans="1:70" ht="13.2" x14ac:dyDescent="0.25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26"/>
      <c r="BC1562" s="15"/>
      <c r="BR1562" s="15"/>
    </row>
    <row r="1563" spans="1:70" ht="13.2" x14ac:dyDescent="0.25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26"/>
      <c r="BC1563" s="15"/>
      <c r="BR1563" s="15"/>
    </row>
    <row r="1564" spans="1:70" ht="13.2" x14ac:dyDescent="0.25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26"/>
      <c r="BC1564" s="15"/>
      <c r="BR1564" s="15"/>
    </row>
    <row r="1565" spans="1:70" ht="13.2" x14ac:dyDescent="0.25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26"/>
      <c r="BC1565" s="15"/>
      <c r="BR1565" s="15"/>
    </row>
    <row r="1566" spans="1:70" ht="13.2" x14ac:dyDescent="0.25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26"/>
      <c r="BC1566" s="15"/>
      <c r="BR1566" s="15"/>
    </row>
    <row r="1567" spans="1:70" ht="13.2" x14ac:dyDescent="0.25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26"/>
      <c r="BC1567" s="15"/>
      <c r="BR1567" s="15"/>
    </row>
    <row r="1568" spans="1:70" ht="13.2" x14ac:dyDescent="0.25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26"/>
      <c r="BC1568" s="15"/>
      <c r="BR1568" s="15"/>
    </row>
    <row r="1569" spans="1:70" ht="13.2" x14ac:dyDescent="0.25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26"/>
      <c r="BC1569" s="15"/>
      <c r="BR1569" s="15"/>
    </row>
    <row r="1570" spans="1:70" ht="13.2" x14ac:dyDescent="0.25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26"/>
      <c r="BC1570" s="15"/>
      <c r="BR1570" s="15"/>
    </row>
    <row r="1571" spans="1:70" ht="13.2" x14ac:dyDescent="0.25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26"/>
      <c r="BC1571" s="15"/>
      <c r="BR1571" s="15"/>
    </row>
    <row r="1572" spans="1:70" ht="13.2" x14ac:dyDescent="0.25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26"/>
      <c r="BC1572" s="15"/>
      <c r="BR1572" s="15"/>
    </row>
    <row r="1573" spans="1:70" ht="13.2" x14ac:dyDescent="0.25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26"/>
      <c r="BC1573" s="15"/>
      <c r="BR1573" s="15"/>
    </row>
    <row r="1574" spans="1:70" ht="13.2" x14ac:dyDescent="0.25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26"/>
      <c r="BC1574" s="15"/>
      <c r="BR1574" s="15"/>
    </row>
    <row r="1575" spans="1:70" ht="13.2" x14ac:dyDescent="0.25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26"/>
      <c r="BC1575" s="15"/>
      <c r="BR1575" s="15"/>
    </row>
    <row r="1576" spans="1:70" ht="13.2" x14ac:dyDescent="0.25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26"/>
      <c r="BC1576" s="15"/>
      <c r="BR1576" s="15"/>
    </row>
    <row r="1577" spans="1:70" ht="13.2" x14ac:dyDescent="0.25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26"/>
      <c r="BC1577" s="15"/>
      <c r="BR1577" s="15"/>
    </row>
    <row r="1578" spans="1:70" ht="13.2" x14ac:dyDescent="0.25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26"/>
      <c r="BC1578" s="15"/>
      <c r="BR1578" s="15"/>
    </row>
    <row r="1579" spans="1:70" ht="13.2" x14ac:dyDescent="0.25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26"/>
      <c r="BC1579" s="15"/>
      <c r="BR1579" s="15"/>
    </row>
    <row r="1580" spans="1:70" ht="13.2" x14ac:dyDescent="0.25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26"/>
      <c r="BC1580" s="15"/>
      <c r="BR1580" s="15"/>
    </row>
    <row r="1581" spans="1:70" ht="13.2" x14ac:dyDescent="0.25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26"/>
      <c r="BC1581" s="15"/>
      <c r="BR1581" s="15"/>
    </row>
    <row r="1582" spans="1:70" ht="13.2" x14ac:dyDescent="0.25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26"/>
      <c r="BC1582" s="15"/>
      <c r="BR1582" s="15"/>
    </row>
    <row r="1583" spans="1:70" ht="13.2" x14ac:dyDescent="0.25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26"/>
      <c r="BC1583" s="15"/>
      <c r="BR1583" s="15"/>
    </row>
    <row r="1584" spans="1:70" ht="13.2" x14ac:dyDescent="0.25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26"/>
      <c r="BC1584" s="15"/>
      <c r="BR1584" s="15"/>
    </row>
    <row r="1585" spans="1:70" ht="13.2" x14ac:dyDescent="0.25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26"/>
      <c r="BC1585" s="15"/>
      <c r="BR1585" s="15"/>
    </row>
    <row r="1586" spans="1:70" ht="13.2" x14ac:dyDescent="0.25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26"/>
      <c r="BC1586" s="15"/>
      <c r="BR1586" s="15"/>
    </row>
    <row r="1587" spans="1:70" ht="13.2" x14ac:dyDescent="0.25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26"/>
      <c r="BC1587" s="15"/>
      <c r="BR1587" s="15"/>
    </row>
    <row r="1588" spans="1:70" ht="13.2" x14ac:dyDescent="0.25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26"/>
      <c r="BC1588" s="15"/>
      <c r="BR1588" s="15"/>
    </row>
    <row r="1589" spans="1:70" ht="13.2" x14ac:dyDescent="0.25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26"/>
      <c r="BC1589" s="15"/>
      <c r="BR1589" s="15"/>
    </row>
    <row r="1590" spans="1:70" ht="13.2" x14ac:dyDescent="0.25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26"/>
      <c r="BC1590" s="15"/>
      <c r="BR1590" s="15"/>
    </row>
    <row r="1591" spans="1:70" ht="13.2" x14ac:dyDescent="0.25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26"/>
      <c r="BC1591" s="15"/>
      <c r="BR1591" s="15"/>
    </row>
    <row r="1592" spans="1:70" ht="13.2" x14ac:dyDescent="0.25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  <c r="AF1592" s="15"/>
      <c r="AG1592" s="15"/>
      <c r="AH1592" s="15"/>
      <c r="AI1592" s="26"/>
      <c r="BC1592" s="15"/>
      <c r="BR1592" s="15"/>
    </row>
    <row r="1593" spans="1:70" ht="13.2" x14ac:dyDescent="0.25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26"/>
      <c r="BC1593" s="15"/>
      <c r="BR1593" s="15"/>
    </row>
    <row r="1594" spans="1:70" ht="13.2" x14ac:dyDescent="0.25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26"/>
      <c r="BC1594" s="15"/>
      <c r="BR1594" s="15"/>
    </row>
    <row r="1595" spans="1:70" ht="13.2" x14ac:dyDescent="0.25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26"/>
      <c r="BC1595" s="15"/>
      <c r="BR1595" s="15"/>
    </row>
    <row r="1596" spans="1:70" ht="13.2" x14ac:dyDescent="0.25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26"/>
      <c r="BC1596" s="15"/>
      <c r="BR1596" s="15"/>
    </row>
    <row r="1597" spans="1:70" ht="13.2" x14ac:dyDescent="0.25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26"/>
      <c r="BC1597" s="15"/>
      <c r="BR1597" s="15"/>
    </row>
    <row r="1598" spans="1:70" ht="13.2" x14ac:dyDescent="0.25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15"/>
      <c r="AG1598" s="15"/>
      <c r="AH1598" s="15"/>
      <c r="AI1598" s="26"/>
      <c r="BC1598" s="15"/>
      <c r="BR1598" s="15"/>
    </row>
    <row r="1599" spans="1:70" ht="13.2" x14ac:dyDescent="0.25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26"/>
      <c r="BC1599" s="15"/>
      <c r="BR1599" s="15"/>
    </row>
    <row r="1600" spans="1:70" ht="13.2" x14ac:dyDescent="0.25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15"/>
      <c r="AG1600" s="15"/>
      <c r="AH1600" s="15"/>
      <c r="AI1600" s="26"/>
      <c r="BC1600" s="15"/>
      <c r="BR1600" s="15"/>
    </row>
    <row r="1601" spans="1:70" ht="13.2" x14ac:dyDescent="0.25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15"/>
      <c r="AG1601" s="15"/>
      <c r="AH1601" s="15"/>
      <c r="AI1601" s="26"/>
      <c r="BC1601" s="15"/>
      <c r="BR1601" s="15"/>
    </row>
    <row r="1602" spans="1:70" ht="13.2" x14ac:dyDescent="0.25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15"/>
      <c r="AG1602" s="15"/>
      <c r="AH1602" s="15"/>
      <c r="AI1602" s="26"/>
      <c r="BC1602" s="15"/>
      <c r="BR1602" s="15"/>
    </row>
    <row r="1603" spans="1:70" ht="13.2" x14ac:dyDescent="0.25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26"/>
      <c r="BC1603" s="15"/>
      <c r="BR1603" s="15"/>
    </row>
    <row r="1604" spans="1:70" ht="13.2" x14ac:dyDescent="0.25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26"/>
      <c r="BC1604" s="15"/>
      <c r="BR1604" s="15"/>
    </row>
    <row r="1605" spans="1:70" ht="13.2" x14ac:dyDescent="0.25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26"/>
      <c r="BC1605" s="15"/>
      <c r="BR1605" s="15"/>
    </row>
    <row r="1606" spans="1:70" ht="13.2" x14ac:dyDescent="0.25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26"/>
      <c r="BC1606" s="15"/>
      <c r="BR1606" s="15"/>
    </row>
    <row r="1607" spans="1:70" ht="13.2" x14ac:dyDescent="0.25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26"/>
      <c r="BC1607" s="15"/>
      <c r="BR1607" s="15"/>
    </row>
    <row r="1608" spans="1:70" ht="13.2" x14ac:dyDescent="0.25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15"/>
      <c r="AG1608" s="15"/>
      <c r="AH1608" s="15"/>
      <c r="AI1608" s="26"/>
      <c r="BC1608" s="15"/>
      <c r="BR1608" s="15"/>
    </row>
    <row r="1609" spans="1:70" ht="13.2" x14ac:dyDescent="0.25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15"/>
      <c r="AG1609" s="15"/>
      <c r="AH1609" s="15"/>
      <c r="AI1609" s="26"/>
      <c r="BC1609" s="15"/>
      <c r="BR1609" s="15"/>
    </row>
    <row r="1610" spans="1:70" ht="13.2" x14ac:dyDescent="0.25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15"/>
      <c r="AG1610" s="15"/>
      <c r="AH1610" s="15"/>
      <c r="AI1610" s="26"/>
      <c r="BC1610" s="15"/>
      <c r="BR1610" s="15"/>
    </row>
    <row r="1611" spans="1:70" ht="13.2" x14ac:dyDescent="0.25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26"/>
      <c r="BC1611" s="15"/>
      <c r="BR1611" s="15"/>
    </row>
    <row r="1612" spans="1:70" ht="13.2" x14ac:dyDescent="0.25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15"/>
      <c r="AG1612" s="15"/>
      <c r="AH1612" s="15"/>
      <c r="AI1612" s="26"/>
      <c r="BC1612" s="15"/>
      <c r="BR1612" s="15"/>
    </row>
    <row r="1613" spans="1:70" ht="13.2" x14ac:dyDescent="0.25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26"/>
      <c r="BC1613" s="15"/>
      <c r="BR1613" s="15"/>
    </row>
    <row r="1614" spans="1:70" ht="13.2" x14ac:dyDescent="0.25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26"/>
      <c r="BC1614" s="15"/>
      <c r="BR1614" s="15"/>
    </row>
    <row r="1615" spans="1:70" ht="13.2" x14ac:dyDescent="0.25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26"/>
      <c r="BC1615" s="15"/>
      <c r="BR1615" s="15"/>
    </row>
    <row r="1616" spans="1:70" ht="13.2" x14ac:dyDescent="0.25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26"/>
      <c r="BC1616" s="15"/>
      <c r="BR1616" s="15"/>
    </row>
    <row r="1617" spans="1:70" ht="13.2" x14ac:dyDescent="0.25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26"/>
      <c r="BC1617" s="15"/>
      <c r="BR1617" s="15"/>
    </row>
    <row r="1618" spans="1:70" ht="13.2" x14ac:dyDescent="0.25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26"/>
      <c r="BC1618" s="15"/>
      <c r="BR1618" s="15"/>
    </row>
    <row r="1619" spans="1:70" ht="13.2" x14ac:dyDescent="0.25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26"/>
      <c r="BC1619" s="15"/>
      <c r="BR1619" s="15"/>
    </row>
    <row r="1620" spans="1:70" ht="13.2" x14ac:dyDescent="0.25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26"/>
      <c r="BC1620" s="15"/>
      <c r="BR1620" s="15"/>
    </row>
    <row r="1621" spans="1:70" ht="13.2" x14ac:dyDescent="0.25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26"/>
      <c r="BC1621" s="15"/>
      <c r="BR1621" s="15"/>
    </row>
    <row r="1622" spans="1:70" ht="13.2" x14ac:dyDescent="0.25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26"/>
      <c r="BC1622" s="15"/>
      <c r="BR1622" s="15"/>
    </row>
    <row r="1623" spans="1:70" ht="13.2" x14ac:dyDescent="0.25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26"/>
      <c r="BC1623" s="15"/>
      <c r="BR1623" s="15"/>
    </row>
    <row r="1624" spans="1:70" ht="13.2" x14ac:dyDescent="0.25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26"/>
      <c r="BC1624" s="15"/>
      <c r="BR1624" s="15"/>
    </row>
    <row r="1625" spans="1:70" ht="13.2" x14ac:dyDescent="0.25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26"/>
      <c r="BC1625" s="15"/>
      <c r="BR1625" s="15"/>
    </row>
    <row r="1626" spans="1:70" ht="13.2" x14ac:dyDescent="0.25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26"/>
      <c r="BC1626" s="15"/>
      <c r="BR1626" s="15"/>
    </row>
    <row r="1627" spans="1:70" ht="13.2" x14ac:dyDescent="0.25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26"/>
      <c r="BC1627" s="15"/>
      <c r="BR1627" s="15"/>
    </row>
    <row r="1628" spans="1:70" ht="13.2" x14ac:dyDescent="0.25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26"/>
      <c r="BC1628" s="15"/>
      <c r="BR1628" s="15"/>
    </row>
    <row r="1629" spans="1:70" ht="13.2" x14ac:dyDescent="0.25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26"/>
      <c r="BC1629" s="15"/>
      <c r="BR1629" s="15"/>
    </row>
    <row r="1630" spans="1:70" ht="13.2" x14ac:dyDescent="0.25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26"/>
      <c r="BC1630" s="15"/>
      <c r="BR1630" s="15"/>
    </row>
    <row r="1631" spans="1:70" ht="13.2" x14ac:dyDescent="0.25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26"/>
      <c r="BC1631" s="15"/>
      <c r="BR1631" s="15"/>
    </row>
    <row r="1632" spans="1:70" ht="13.2" x14ac:dyDescent="0.25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26"/>
      <c r="BC1632" s="15"/>
      <c r="BR1632" s="15"/>
    </row>
    <row r="1633" spans="1:70" ht="13.2" x14ac:dyDescent="0.25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26"/>
      <c r="BC1633" s="15"/>
      <c r="BR1633" s="15"/>
    </row>
    <row r="1634" spans="1:70" ht="13.2" x14ac:dyDescent="0.25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26"/>
      <c r="BC1634" s="15"/>
      <c r="BR1634" s="15"/>
    </row>
    <row r="1635" spans="1:70" ht="13.2" x14ac:dyDescent="0.2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26"/>
      <c r="BC1635" s="15"/>
      <c r="BR1635" s="15"/>
    </row>
    <row r="1636" spans="1:70" ht="13.2" x14ac:dyDescent="0.25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26"/>
      <c r="BC1636" s="15"/>
      <c r="BR1636" s="15"/>
    </row>
    <row r="1637" spans="1:70" ht="13.2" x14ac:dyDescent="0.25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26"/>
      <c r="BC1637" s="15"/>
      <c r="BR1637" s="15"/>
    </row>
    <row r="1638" spans="1:70" ht="13.2" x14ac:dyDescent="0.25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26"/>
      <c r="BC1638" s="15"/>
      <c r="BR1638" s="15"/>
    </row>
    <row r="1639" spans="1:70" ht="13.2" x14ac:dyDescent="0.25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26"/>
      <c r="BC1639" s="15"/>
      <c r="BR1639" s="15"/>
    </row>
    <row r="1640" spans="1:70" ht="13.2" x14ac:dyDescent="0.25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26"/>
      <c r="BC1640" s="15"/>
      <c r="BR1640" s="15"/>
    </row>
    <row r="1641" spans="1:70" ht="13.2" x14ac:dyDescent="0.25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26"/>
      <c r="BC1641" s="15"/>
      <c r="BR1641" s="15"/>
    </row>
    <row r="1642" spans="1:70" ht="13.2" x14ac:dyDescent="0.25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26"/>
      <c r="BC1642" s="15"/>
      <c r="BR1642" s="15"/>
    </row>
    <row r="1643" spans="1:70" ht="13.2" x14ac:dyDescent="0.25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26"/>
      <c r="BC1643" s="15"/>
      <c r="BR1643" s="15"/>
    </row>
    <row r="1644" spans="1:70" ht="13.2" x14ac:dyDescent="0.25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26"/>
      <c r="BC1644" s="15"/>
      <c r="BR1644" s="15"/>
    </row>
    <row r="1645" spans="1:70" ht="13.2" x14ac:dyDescent="0.2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26"/>
      <c r="BC1645" s="15"/>
      <c r="BR1645" s="15"/>
    </row>
    <row r="1646" spans="1:70" ht="13.2" x14ac:dyDescent="0.25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26"/>
      <c r="BC1646" s="15"/>
      <c r="BR1646" s="15"/>
    </row>
    <row r="1647" spans="1:70" ht="13.2" x14ac:dyDescent="0.25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26"/>
      <c r="BC1647" s="15"/>
      <c r="BR1647" s="15"/>
    </row>
    <row r="1648" spans="1:70" ht="13.2" x14ac:dyDescent="0.25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26"/>
      <c r="BC1648" s="15"/>
      <c r="BR1648" s="15"/>
    </row>
    <row r="1649" spans="1:70" ht="13.2" x14ac:dyDescent="0.25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26"/>
      <c r="BC1649" s="15"/>
      <c r="BR1649" s="15"/>
    </row>
    <row r="1650" spans="1:70" ht="13.2" x14ac:dyDescent="0.25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26"/>
      <c r="BC1650" s="15"/>
      <c r="BR1650" s="15"/>
    </row>
    <row r="1651" spans="1:70" ht="13.2" x14ac:dyDescent="0.25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26"/>
      <c r="BC1651" s="15"/>
      <c r="BR1651" s="15"/>
    </row>
    <row r="1652" spans="1:70" ht="13.2" x14ac:dyDescent="0.25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26"/>
      <c r="BC1652" s="15"/>
      <c r="BR1652" s="15"/>
    </row>
    <row r="1653" spans="1:70" ht="13.2" x14ac:dyDescent="0.25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26"/>
      <c r="BC1653" s="15"/>
      <c r="BR1653" s="15"/>
    </row>
    <row r="1654" spans="1:70" ht="13.2" x14ac:dyDescent="0.25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26"/>
      <c r="BC1654" s="15"/>
      <c r="BR1654" s="15"/>
    </row>
    <row r="1655" spans="1:70" ht="13.2" x14ac:dyDescent="0.25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26"/>
      <c r="BC1655" s="15"/>
      <c r="BR1655" s="15"/>
    </row>
    <row r="1656" spans="1:70" ht="13.2" x14ac:dyDescent="0.25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26"/>
      <c r="BC1656" s="15"/>
      <c r="BR1656" s="15"/>
    </row>
    <row r="1657" spans="1:70" ht="13.2" x14ac:dyDescent="0.25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26"/>
      <c r="BC1657" s="15"/>
      <c r="BR1657" s="15"/>
    </row>
    <row r="1658" spans="1:70" ht="13.2" x14ac:dyDescent="0.25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26"/>
      <c r="BC1658" s="15"/>
      <c r="BR1658" s="15"/>
    </row>
    <row r="1659" spans="1:70" ht="13.2" x14ac:dyDescent="0.25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26"/>
      <c r="BC1659" s="15"/>
      <c r="BR1659" s="15"/>
    </row>
    <row r="1660" spans="1:70" ht="13.2" x14ac:dyDescent="0.25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26"/>
      <c r="BC1660" s="15"/>
      <c r="BR1660" s="15"/>
    </row>
    <row r="1661" spans="1:70" ht="13.2" x14ac:dyDescent="0.25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26"/>
      <c r="BC1661" s="15"/>
      <c r="BR1661" s="15"/>
    </row>
    <row r="1662" spans="1:70" ht="13.2" x14ac:dyDescent="0.25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26"/>
      <c r="BC1662" s="15"/>
      <c r="BR1662" s="15"/>
    </row>
    <row r="1663" spans="1:70" ht="13.2" x14ac:dyDescent="0.25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26"/>
      <c r="BC1663" s="15"/>
      <c r="BR1663" s="15"/>
    </row>
    <row r="1664" spans="1:70" ht="13.2" x14ac:dyDescent="0.25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26"/>
      <c r="BC1664" s="15"/>
      <c r="BR1664" s="15"/>
    </row>
    <row r="1665" spans="1:70" ht="13.2" x14ac:dyDescent="0.25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26"/>
      <c r="BC1665" s="15"/>
      <c r="BR1665" s="15"/>
    </row>
    <row r="1666" spans="1:70" ht="13.2" x14ac:dyDescent="0.25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26"/>
      <c r="BC1666" s="15"/>
      <c r="BR1666" s="15"/>
    </row>
    <row r="1667" spans="1:70" ht="13.2" x14ac:dyDescent="0.25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26"/>
      <c r="BC1667" s="15"/>
      <c r="BR1667" s="15"/>
    </row>
    <row r="1668" spans="1:70" ht="13.2" x14ac:dyDescent="0.25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26"/>
      <c r="BC1668" s="15"/>
      <c r="BR1668" s="15"/>
    </row>
    <row r="1669" spans="1:70" ht="13.2" x14ac:dyDescent="0.25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26"/>
      <c r="BC1669" s="15"/>
      <c r="BR1669" s="15"/>
    </row>
    <row r="1670" spans="1:70" ht="13.2" x14ac:dyDescent="0.25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26"/>
      <c r="BC1670" s="15"/>
      <c r="BR1670" s="15"/>
    </row>
    <row r="1671" spans="1:70" ht="13.2" x14ac:dyDescent="0.25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26"/>
      <c r="BC1671" s="15"/>
      <c r="BR1671" s="15"/>
    </row>
    <row r="1672" spans="1:70" ht="13.2" x14ac:dyDescent="0.25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26"/>
      <c r="BC1672" s="15"/>
      <c r="BR1672" s="15"/>
    </row>
    <row r="1673" spans="1:70" ht="13.2" x14ac:dyDescent="0.25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26"/>
      <c r="BC1673" s="15"/>
      <c r="BR1673" s="15"/>
    </row>
    <row r="1674" spans="1:70" ht="13.2" x14ac:dyDescent="0.25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26"/>
      <c r="BC1674" s="15"/>
      <c r="BR1674" s="15"/>
    </row>
    <row r="1675" spans="1:70" ht="13.2" x14ac:dyDescent="0.25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26"/>
      <c r="BC1675" s="15"/>
      <c r="BR1675" s="15"/>
    </row>
    <row r="1676" spans="1:70" ht="13.2" x14ac:dyDescent="0.25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26"/>
      <c r="BC1676" s="15"/>
      <c r="BR1676" s="15"/>
    </row>
    <row r="1677" spans="1:70" ht="13.2" x14ac:dyDescent="0.25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26"/>
      <c r="BC1677" s="15"/>
      <c r="BR1677" s="15"/>
    </row>
    <row r="1678" spans="1:70" ht="13.2" x14ac:dyDescent="0.25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26"/>
      <c r="BC1678" s="15"/>
      <c r="BR1678" s="15"/>
    </row>
    <row r="1679" spans="1:70" ht="13.2" x14ac:dyDescent="0.25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26"/>
      <c r="BC1679" s="15"/>
      <c r="BR1679" s="15"/>
    </row>
    <row r="1680" spans="1:70" ht="13.2" x14ac:dyDescent="0.25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26"/>
      <c r="BC1680" s="15"/>
      <c r="BR1680" s="15"/>
    </row>
    <row r="1681" spans="1:70" ht="13.2" x14ac:dyDescent="0.25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26"/>
      <c r="BC1681" s="15"/>
      <c r="BR1681" s="15"/>
    </row>
    <row r="1682" spans="1:70" ht="13.2" x14ac:dyDescent="0.25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26"/>
      <c r="BC1682" s="15"/>
      <c r="BR1682" s="15"/>
    </row>
    <row r="1683" spans="1:70" ht="13.2" x14ac:dyDescent="0.25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26"/>
      <c r="BC1683" s="15"/>
      <c r="BR1683" s="15"/>
    </row>
    <row r="1684" spans="1:70" ht="13.2" x14ac:dyDescent="0.25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26"/>
      <c r="BC1684" s="15"/>
      <c r="BR1684" s="15"/>
    </row>
    <row r="1685" spans="1:70" ht="13.2" x14ac:dyDescent="0.25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26"/>
      <c r="BC1685" s="15"/>
      <c r="BR1685" s="15"/>
    </row>
    <row r="1686" spans="1:70" ht="13.2" x14ac:dyDescent="0.25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26"/>
      <c r="BC1686" s="15"/>
      <c r="BR1686" s="15"/>
    </row>
    <row r="1687" spans="1:70" ht="13.2" x14ac:dyDescent="0.25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26"/>
      <c r="BC1687" s="15"/>
      <c r="BR1687" s="15"/>
    </row>
    <row r="1688" spans="1:70" ht="13.2" x14ac:dyDescent="0.25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26"/>
      <c r="BC1688" s="15"/>
      <c r="BR1688" s="15"/>
    </row>
    <row r="1689" spans="1:70" ht="13.2" x14ac:dyDescent="0.25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26"/>
      <c r="BC1689" s="15"/>
      <c r="BR1689" s="15"/>
    </row>
    <row r="1690" spans="1:70" ht="13.2" x14ac:dyDescent="0.25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26"/>
      <c r="BC1690" s="15"/>
      <c r="BR1690" s="15"/>
    </row>
    <row r="1691" spans="1:70" ht="13.2" x14ac:dyDescent="0.25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26"/>
      <c r="BC1691" s="15"/>
      <c r="BR1691" s="15"/>
    </row>
    <row r="1692" spans="1:70" ht="13.2" x14ac:dyDescent="0.25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26"/>
      <c r="BC1692" s="15"/>
      <c r="BR1692" s="15"/>
    </row>
    <row r="1693" spans="1:70" ht="13.2" x14ac:dyDescent="0.25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26"/>
      <c r="BC1693" s="15"/>
      <c r="BR1693" s="15"/>
    </row>
    <row r="1694" spans="1:70" ht="13.2" x14ac:dyDescent="0.25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26"/>
      <c r="BC1694" s="15"/>
      <c r="BR1694" s="15"/>
    </row>
    <row r="1695" spans="1:70" ht="13.2" x14ac:dyDescent="0.25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26"/>
      <c r="BC1695" s="15"/>
      <c r="BR1695" s="15"/>
    </row>
    <row r="1696" spans="1:70" ht="13.2" x14ac:dyDescent="0.25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26"/>
      <c r="BC1696" s="15"/>
      <c r="BR1696" s="15"/>
    </row>
    <row r="1697" spans="1:70" ht="13.2" x14ac:dyDescent="0.25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26"/>
      <c r="BC1697" s="15"/>
      <c r="BR1697" s="15"/>
    </row>
    <row r="1698" spans="1:70" ht="13.2" x14ac:dyDescent="0.25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26"/>
      <c r="BC1698" s="15"/>
      <c r="BR1698" s="15"/>
    </row>
    <row r="1699" spans="1:70" ht="13.2" x14ac:dyDescent="0.25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26"/>
      <c r="BC1699" s="15"/>
      <c r="BR1699" s="15"/>
    </row>
    <row r="1700" spans="1:70" ht="13.2" x14ac:dyDescent="0.25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26"/>
      <c r="BC1700" s="15"/>
      <c r="BR1700" s="15"/>
    </row>
    <row r="1701" spans="1:70" ht="13.2" x14ac:dyDescent="0.25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26"/>
      <c r="BC1701" s="15"/>
      <c r="BR1701" s="15"/>
    </row>
    <row r="1702" spans="1:70" ht="13.2" x14ac:dyDescent="0.25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26"/>
      <c r="BC1702" s="15"/>
      <c r="BR1702" s="15"/>
    </row>
    <row r="1703" spans="1:70" ht="13.2" x14ac:dyDescent="0.25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26"/>
      <c r="BC1703" s="15"/>
      <c r="BR1703" s="15"/>
    </row>
    <row r="1704" spans="1:70" ht="13.2" x14ac:dyDescent="0.25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26"/>
      <c r="BC1704" s="15"/>
      <c r="BR1704" s="15"/>
    </row>
    <row r="1705" spans="1:70" ht="13.2" x14ac:dyDescent="0.25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26"/>
      <c r="BC1705" s="15"/>
      <c r="BR1705" s="15"/>
    </row>
    <row r="1706" spans="1:70" ht="13.2" x14ac:dyDescent="0.25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26"/>
      <c r="BC1706" s="15"/>
      <c r="BR1706" s="15"/>
    </row>
    <row r="1707" spans="1:70" ht="13.2" x14ac:dyDescent="0.25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26"/>
      <c r="BC1707" s="15"/>
      <c r="BR1707" s="15"/>
    </row>
    <row r="1708" spans="1:70" ht="13.2" x14ac:dyDescent="0.25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26"/>
      <c r="BC1708" s="15"/>
      <c r="BR1708" s="15"/>
    </row>
    <row r="1709" spans="1:70" ht="13.2" x14ac:dyDescent="0.25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26"/>
      <c r="BC1709" s="15"/>
      <c r="BR1709" s="15"/>
    </row>
    <row r="1710" spans="1:70" ht="13.2" x14ac:dyDescent="0.25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26"/>
      <c r="BC1710" s="15"/>
      <c r="BR1710" s="15"/>
    </row>
    <row r="1711" spans="1:70" ht="13.2" x14ac:dyDescent="0.25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26"/>
      <c r="BC1711" s="15"/>
      <c r="BR1711" s="15"/>
    </row>
    <row r="1712" spans="1:70" ht="13.2" x14ac:dyDescent="0.25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26"/>
      <c r="BC1712" s="15"/>
      <c r="BR1712" s="15"/>
    </row>
    <row r="1713" spans="1:70" ht="13.2" x14ac:dyDescent="0.25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26"/>
      <c r="BC1713" s="15"/>
      <c r="BR1713" s="15"/>
    </row>
    <row r="1714" spans="1:70" ht="13.2" x14ac:dyDescent="0.25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26"/>
      <c r="BC1714" s="15"/>
      <c r="BR1714" s="15"/>
    </row>
    <row r="1715" spans="1:70" ht="13.2" x14ac:dyDescent="0.25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26"/>
      <c r="BC1715" s="15"/>
      <c r="BR1715" s="15"/>
    </row>
    <row r="1716" spans="1:70" ht="13.2" x14ac:dyDescent="0.25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26"/>
      <c r="BC1716" s="15"/>
      <c r="BR1716" s="15"/>
    </row>
    <row r="1717" spans="1:70" ht="13.2" x14ac:dyDescent="0.25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26"/>
      <c r="BC1717" s="15"/>
      <c r="BR1717" s="15"/>
    </row>
    <row r="1718" spans="1:70" ht="13.2" x14ac:dyDescent="0.25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26"/>
      <c r="BC1718" s="15"/>
      <c r="BR1718" s="15"/>
    </row>
    <row r="1719" spans="1:70" ht="13.2" x14ac:dyDescent="0.25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26"/>
      <c r="BC1719" s="15"/>
      <c r="BR1719" s="15"/>
    </row>
    <row r="1720" spans="1:70" ht="13.2" x14ac:dyDescent="0.25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26"/>
      <c r="BC1720" s="15"/>
      <c r="BR1720" s="15"/>
    </row>
    <row r="1721" spans="1:70" ht="13.2" x14ac:dyDescent="0.25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26"/>
      <c r="BC1721" s="15"/>
      <c r="BR1721" s="15"/>
    </row>
    <row r="1722" spans="1:70" ht="13.2" x14ac:dyDescent="0.25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26"/>
      <c r="BC1722" s="15"/>
      <c r="BR1722" s="15"/>
    </row>
    <row r="1723" spans="1:70" ht="13.2" x14ac:dyDescent="0.25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26"/>
      <c r="BC1723" s="15"/>
      <c r="BR1723" s="15"/>
    </row>
    <row r="1724" spans="1:70" ht="13.2" x14ac:dyDescent="0.25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26"/>
      <c r="BC1724" s="15"/>
      <c r="BR1724" s="15"/>
    </row>
    <row r="1725" spans="1:70" ht="13.2" x14ac:dyDescent="0.25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26"/>
      <c r="BC1725" s="15"/>
      <c r="BR1725" s="15"/>
    </row>
    <row r="1726" spans="1:70" ht="13.2" x14ac:dyDescent="0.25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26"/>
      <c r="BC1726" s="15"/>
      <c r="BR1726" s="15"/>
    </row>
    <row r="1727" spans="1:70" ht="13.2" x14ac:dyDescent="0.25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26"/>
      <c r="BC1727" s="15"/>
      <c r="BR1727" s="15"/>
    </row>
    <row r="1728" spans="1:70" ht="13.2" x14ac:dyDescent="0.25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26"/>
      <c r="BC1728" s="15"/>
      <c r="BR1728" s="15"/>
    </row>
    <row r="1729" spans="1:70" ht="13.2" x14ac:dyDescent="0.25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26"/>
      <c r="BC1729" s="15"/>
      <c r="BR1729" s="15"/>
    </row>
    <row r="1730" spans="1:70" ht="13.2" x14ac:dyDescent="0.25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26"/>
      <c r="BC1730" s="15"/>
      <c r="BR1730" s="15"/>
    </row>
    <row r="1731" spans="1:70" ht="13.2" x14ac:dyDescent="0.25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26"/>
      <c r="BC1731" s="15"/>
      <c r="BR1731" s="15"/>
    </row>
    <row r="1732" spans="1:70" ht="13.2" x14ac:dyDescent="0.25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26"/>
      <c r="BC1732" s="15"/>
      <c r="BR1732" s="15"/>
    </row>
    <row r="1733" spans="1:70" ht="13.2" x14ac:dyDescent="0.25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26"/>
      <c r="BC1733" s="15"/>
      <c r="BR1733" s="15"/>
    </row>
    <row r="1734" spans="1:70" ht="13.2" x14ac:dyDescent="0.25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26"/>
      <c r="BC1734" s="15"/>
      <c r="BR1734" s="15"/>
    </row>
    <row r="1735" spans="1:70" ht="13.2" x14ac:dyDescent="0.25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26"/>
      <c r="BC1735" s="15"/>
      <c r="BR1735" s="15"/>
    </row>
    <row r="1736" spans="1:70" ht="13.2" x14ac:dyDescent="0.25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26"/>
      <c r="BC1736" s="15"/>
      <c r="BR1736" s="15"/>
    </row>
    <row r="1737" spans="1:70" ht="13.2" x14ac:dyDescent="0.25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26"/>
      <c r="BC1737" s="15"/>
      <c r="BR1737" s="15"/>
    </row>
    <row r="1738" spans="1:70" ht="13.2" x14ac:dyDescent="0.25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26"/>
      <c r="BC1738" s="15"/>
      <c r="BR1738" s="15"/>
    </row>
    <row r="1739" spans="1:70" ht="13.2" x14ac:dyDescent="0.25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26"/>
      <c r="BC1739" s="15"/>
      <c r="BR1739" s="15"/>
    </row>
    <row r="1740" spans="1:70" ht="13.2" x14ac:dyDescent="0.25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26"/>
      <c r="BC1740" s="15"/>
      <c r="BR1740" s="15"/>
    </row>
    <row r="1741" spans="1:70" ht="13.2" x14ac:dyDescent="0.25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26"/>
      <c r="BC1741" s="15"/>
      <c r="BR1741" s="15"/>
    </row>
    <row r="1742" spans="1:70" ht="13.2" x14ac:dyDescent="0.25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26"/>
      <c r="BC1742" s="15"/>
      <c r="BR1742" s="15"/>
    </row>
    <row r="1743" spans="1:70" ht="13.2" x14ac:dyDescent="0.25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26"/>
      <c r="BC1743" s="15"/>
      <c r="BR1743" s="15"/>
    </row>
    <row r="1744" spans="1:70" ht="13.2" x14ac:dyDescent="0.25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26"/>
      <c r="BC1744" s="15"/>
      <c r="BR1744" s="15"/>
    </row>
    <row r="1745" spans="1:70" ht="13.2" x14ac:dyDescent="0.25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26"/>
      <c r="BC1745" s="15"/>
      <c r="BR1745" s="15"/>
    </row>
    <row r="1746" spans="1:70" ht="13.2" x14ac:dyDescent="0.25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26"/>
      <c r="BC1746" s="15"/>
      <c r="BR1746" s="15"/>
    </row>
    <row r="1747" spans="1:70" ht="13.2" x14ac:dyDescent="0.25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26"/>
      <c r="BC1747" s="15"/>
      <c r="BR1747" s="15"/>
    </row>
    <row r="1748" spans="1:70" ht="13.2" x14ac:dyDescent="0.25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26"/>
      <c r="BC1748" s="15"/>
      <c r="BR1748" s="15"/>
    </row>
    <row r="1749" spans="1:70" ht="13.2" x14ac:dyDescent="0.25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26"/>
      <c r="BC1749" s="15"/>
      <c r="BR1749" s="15"/>
    </row>
    <row r="1750" spans="1:70" ht="13.2" x14ac:dyDescent="0.25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26"/>
      <c r="BC1750" s="15"/>
      <c r="BR1750" s="15"/>
    </row>
    <row r="1751" spans="1:70" ht="13.2" x14ac:dyDescent="0.25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26"/>
      <c r="BC1751" s="15"/>
      <c r="BR1751" s="15"/>
    </row>
    <row r="1752" spans="1:70" ht="13.2" x14ac:dyDescent="0.25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26"/>
      <c r="BC1752" s="15"/>
      <c r="BR1752" s="15"/>
    </row>
    <row r="1753" spans="1:70" ht="13.2" x14ac:dyDescent="0.25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26"/>
      <c r="BC1753" s="15"/>
      <c r="BR1753" s="15"/>
    </row>
    <row r="1754" spans="1:70" ht="13.2" x14ac:dyDescent="0.25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26"/>
      <c r="BC1754" s="15"/>
      <c r="BR1754" s="15"/>
    </row>
    <row r="1755" spans="1:70" ht="13.2" x14ac:dyDescent="0.25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26"/>
      <c r="BC1755" s="15"/>
      <c r="BR1755" s="15"/>
    </row>
    <row r="1756" spans="1:70" ht="13.2" x14ac:dyDescent="0.25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26"/>
      <c r="BC1756" s="15"/>
      <c r="BR1756" s="15"/>
    </row>
    <row r="1757" spans="1:70" ht="13.2" x14ac:dyDescent="0.25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26"/>
      <c r="BC1757" s="15"/>
      <c r="BR1757" s="15"/>
    </row>
    <row r="1758" spans="1:70" ht="13.2" x14ac:dyDescent="0.25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26"/>
      <c r="BC1758" s="15"/>
      <c r="BR1758" s="15"/>
    </row>
    <row r="1759" spans="1:70" ht="13.2" x14ac:dyDescent="0.25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26"/>
      <c r="BC1759" s="15"/>
      <c r="BR1759" s="15"/>
    </row>
    <row r="1760" spans="1:70" ht="13.2" x14ac:dyDescent="0.25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26"/>
      <c r="BC1760" s="15"/>
      <c r="BR1760" s="15"/>
    </row>
    <row r="1761" spans="1:70" ht="13.2" x14ac:dyDescent="0.25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26"/>
      <c r="BC1761" s="15"/>
      <c r="BR1761" s="15"/>
    </row>
    <row r="1762" spans="1:70" ht="13.2" x14ac:dyDescent="0.25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26"/>
      <c r="BC1762" s="15"/>
      <c r="BR1762" s="15"/>
    </row>
    <row r="1763" spans="1:70" ht="13.2" x14ac:dyDescent="0.25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26"/>
      <c r="BC1763" s="15"/>
      <c r="BR1763" s="15"/>
    </row>
    <row r="1764" spans="1:70" ht="13.2" x14ac:dyDescent="0.25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26"/>
      <c r="BC1764" s="15"/>
      <c r="BR1764" s="15"/>
    </row>
    <row r="1765" spans="1:70" ht="13.2" x14ac:dyDescent="0.25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26"/>
      <c r="BC1765" s="15"/>
      <c r="BR1765" s="15"/>
    </row>
    <row r="1766" spans="1:70" ht="13.2" x14ac:dyDescent="0.25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26"/>
      <c r="BC1766" s="15"/>
      <c r="BR1766" s="15"/>
    </row>
    <row r="1767" spans="1:70" ht="13.2" x14ac:dyDescent="0.25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26"/>
      <c r="BC1767" s="15"/>
      <c r="BR1767" s="15"/>
    </row>
    <row r="1768" spans="1:70" ht="13.2" x14ac:dyDescent="0.25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26"/>
      <c r="BC1768" s="15"/>
      <c r="BR1768" s="15"/>
    </row>
    <row r="1769" spans="1:70" ht="13.2" x14ac:dyDescent="0.25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26"/>
      <c r="BC1769" s="15"/>
      <c r="BR1769" s="15"/>
    </row>
    <row r="1770" spans="1:70" ht="13.2" x14ac:dyDescent="0.25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26"/>
      <c r="BC1770" s="15"/>
      <c r="BR1770" s="15"/>
    </row>
    <row r="1771" spans="1:70" ht="13.2" x14ac:dyDescent="0.25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26"/>
      <c r="BC1771" s="15"/>
      <c r="BR1771" s="15"/>
    </row>
    <row r="1772" spans="1:70" ht="13.2" x14ac:dyDescent="0.25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26"/>
      <c r="BC1772" s="15"/>
      <c r="BR1772" s="15"/>
    </row>
    <row r="1773" spans="1:70" ht="13.2" x14ac:dyDescent="0.25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26"/>
      <c r="BC1773" s="15"/>
      <c r="BR1773" s="15"/>
    </row>
    <row r="1774" spans="1:70" ht="13.2" x14ac:dyDescent="0.25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26"/>
      <c r="BC1774" s="15"/>
      <c r="BR1774" s="15"/>
    </row>
    <row r="1775" spans="1:70" ht="13.2" x14ac:dyDescent="0.25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26"/>
      <c r="BC1775" s="15"/>
      <c r="BR1775" s="15"/>
    </row>
    <row r="1776" spans="1:70" ht="13.2" x14ac:dyDescent="0.25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26"/>
      <c r="BC1776" s="15"/>
      <c r="BR1776" s="15"/>
    </row>
    <row r="1777" spans="1:70" ht="13.2" x14ac:dyDescent="0.25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26"/>
      <c r="BC1777" s="15"/>
      <c r="BR1777" s="15"/>
    </row>
    <row r="1778" spans="1:70" ht="13.2" x14ac:dyDescent="0.25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26"/>
      <c r="BC1778" s="15"/>
      <c r="BR1778" s="15"/>
    </row>
    <row r="1779" spans="1:70" ht="13.2" x14ac:dyDescent="0.25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26"/>
      <c r="BC1779" s="15"/>
      <c r="BR1779" s="15"/>
    </row>
    <row r="1780" spans="1:70" ht="13.2" x14ac:dyDescent="0.25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26"/>
      <c r="BC1780" s="15"/>
      <c r="BR1780" s="15"/>
    </row>
    <row r="1781" spans="1:70" ht="13.2" x14ac:dyDescent="0.25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26"/>
      <c r="BC1781" s="15"/>
      <c r="BR1781" s="15"/>
    </row>
    <row r="1782" spans="1:70" ht="13.2" x14ac:dyDescent="0.25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26"/>
      <c r="BC1782" s="15"/>
      <c r="BR1782" s="15"/>
    </row>
    <row r="1783" spans="1:70" ht="13.2" x14ac:dyDescent="0.25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26"/>
      <c r="BC1783" s="15"/>
      <c r="BR1783" s="15"/>
    </row>
    <row r="1784" spans="1:70" ht="13.2" x14ac:dyDescent="0.25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26"/>
      <c r="BC1784" s="15"/>
      <c r="BR1784" s="15"/>
    </row>
    <row r="1785" spans="1:70" ht="13.2" x14ac:dyDescent="0.25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26"/>
      <c r="BC1785" s="15"/>
      <c r="BR1785" s="15"/>
    </row>
    <row r="1786" spans="1:70" ht="13.2" x14ac:dyDescent="0.25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26"/>
      <c r="BC1786" s="15"/>
      <c r="BR1786" s="15"/>
    </row>
    <row r="1787" spans="1:70" ht="13.2" x14ac:dyDescent="0.25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26"/>
      <c r="BC1787" s="15"/>
      <c r="BR1787" s="15"/>
    </row>
    <row r="1788" spans="1:70" ht="13.2" x14ac:dyDescent="0.25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26"/>
      <c r="BC1788" s="15"/>
      <c r="BR1788" s="15"/>
    </row>
    <row r="1789" spans="1:70" ht="13.2" x14ac:dyDescent="0.25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26"/>
      <c r="BC1789" s="15"/>
      <c r="BR1789" s="15"/>
    </row>
    <row r="1790" spans="1:70" ht="13.2" x14ac:dyDescent="0.25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26"/>
      <c r="BC1790" s="15"/>
      <c r="BR1790" s="15"/>
    </row>
    <row r="1791" spans="1:70" ht="13.2" x14ac:dyDescent="0.25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26"/>
      <c r="BC1791" s="15"/>
      <c r="BR1791" s="15"/>
    </row>
    <row r="1792" spans="1:70" ht="13.2" x14ac:dyDescent="0.25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  <c r="AF1792" s="15"/>
      <c r="AG1792" s="15"/>
      <c r="AH1792" s="15"/>
      <c r="AI1792" s="26"/>
      <c r="BC1792" s="15"/>
      <c r="BR1792" s="15"/>
    </row>
    <row r="1793" spans="1:70" ht="13.2" x14ac:dyDescent="0.25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26"/>
      <c r="BC1793" s="15"/>
      <c r="BR1793" s="15"/>
    </row>
    <row r="1794" spans="1:70" ht="13.2" x14ac:dyDescent="0.25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26"/>
      <c r="BC1794" s="15"/>
      <c r="BR1794" s="15"/>
    </row>
    <row r="1795" spans="1:70" ht="13.2" x14ac:dyDescent="0.25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26"/>
      <c r="BC1795" s="15"/>
      <c r="BR1795" s="15"/>
    </row>
    <row r="1796" spans="1:70" ht="13.2" x14ac:dyDescent="0.25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26"/>
      <c r="BC1796" s="15"/>
      <c r="BR1796" s="15"/>
    </row>
    <row r="1797" spans="1:70" ht="13.2" x14ac:dyDescent="0.25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26"/>
      <c r="BC1797" s="15"/>
      <c r="BR1797" s="15"/>
    </row>
    <row r="1798" spans="1:70" ht="13.2" x14ac:dyDescent="0.25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26"/>
      <c r="BC1798" s="15"/>
      <c r="BR1798" s="15"/>
    </row>
    <row r="1799" spans="1:70" ht="13.2" x14ac:dyDescent="0.25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26"/>
      <c r="BC1799" s="15"/>
      <c r="BR1799" s="15"/>
    </row>
    <row r="1800" spans="1:70" ht="13.2" x14ac:dyDescent="0.25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26"/>
      <c r="BC1800" s="15"/>
      <c r="BR1800" s="15"/>
    </row>
    <row r="1801" spans="1:70" ht="13.2" x14ac:dyDescent="0.25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26"/>
      <c r="BC1801" s="15"/>
      <c r="BR1801" s="15"/>
    </row>
    <row r="1802" spans="1:70" ht="13.2" x14ac:dyDescent="0.25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26"/>
      <c r="BC1802" s="15"/>
      <c r="BR1802" s="15"/>
    </row>
    <row r="1803" spans="1:70" ht="13.2" x14ac:dyDescent="0.25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26"/>
      <c r="BC1803" s="15"/>
      <c r="BR1803" s="15"/>
    </row>
    <row r="1804" spans="1:70" ht="13.2" x14ac:dyDescent="0.25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26"/>
      <c r="BC1804" s="15"/>
      <c r="BR1804" s="15"/>
    </row>
    <row r="1805" spans="1:70" ht="13.2" x14ac:dyDescent="0.25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26"/>
      <c r="BC1805" s="15"/>
      <c r="BR1805" s="15"/>
    </row>
    <row r="1806" spans="1:70" ht="13.2" x14ac:dyDescent="0.25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26"/>
      <c r="BC1806" s="15"/>
      <c r="BR1806" s="15"/>
    </row>
    <row r="1807" spans="1:70" ht="13.2" x14ac:dyDescent="0.25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26"/>
      <c r="BC1807" s="15"/>
      <c r="BR1807" s="15"/>
    </row>
    <row r="1808" spans="1:70" ht="13.2" x14ac:dyDescent="0.25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26"/>
      <c r="BC1808" s="15"/>
      <c r="BR1808" s="15"/>
    </row>
    <row r="1809" spans="1:70" ht="13.2" x14ac:dyDescent="0.25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26"/>
      <c r="BC1809" s="15"/>
      <c r="BR1809" s="15"/>
    </row>
    <row r="1810" spans="1:70" ht="13.2" x14ac:dyDescent="0.25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26"/>
      <c r="BC1810" s="15"/>
      <c r="BR1810" s="15"/>
    </row>
    <row r="1811" spans="1:70" ht="13.2" x14ac:dyDescent="0.25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26"/>
      <c r="BC1811" s="15"/>
      <c r="BR1811" s="15"/>
    </row>
    <row r="1812" spans="1:70" ht="13.2" x14ac:dyDescent="0.25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26"/>
      <c r="BC1812" s="15"/>
      <c r="BR1812" s="15"/>
    </row>
    <row r="1813" spans="1:70" ht="13.2" x14ac:dyDescent="0.25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26"/>
      <c r="BC1813" s="15"/>
      <c r="BR1813" s="15"/>
    </row>
    <row r="1814" spans="1:70" ht="13.2" x14ac:dyDescent="0.25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26"/>
      <c r="BC1814" s="15"/>
      <c r="BR1814" s="15"/>
    </row>
    <row r="1815" spans="1:70" ht="13.2" x14ac:dyDescent="0.25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26"/>
      <c r="BC1815" s="15"/>
      <c r="BR1815" s="15"/>
    </row>
    <row r="1816" spans="1:70" ht="13.2" x14ac:dyDescent="0.25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26"/>
      <c r="BC1816" s="15"/>
      <c r="BR1816" s="15"/>
    </row>
    <row r="1817" spans="1:70" ht="13.2" x14ac:dyDescent="0.25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26"/>
      <c r="BC1817" s="15"/>
      <c r="BR1817" s="15"/>
    </row>
    <row r="1818" spans="1:70" ht="13.2" x14ac:dyDescent="0.25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26"/>
      <c r="BC1818" s="15"/>
      <c r="BR1818" s="15"/>
    </row>
    <row r="1819" spans="1:70" ht="13.2" x14ac:dyDescent="0.25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26"/>
      <c r="BC1819" s="15"/>
      <c r="BR1819" s="15"/>
    </row>
    <row r="1820" spans="1:70" ht="13.2" x14ac:dyDescent="0.25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26"/>
      <c r="BC1820" s="15"/>
      <c r="BR1820" s="15"/>
    </row>
    <row r="1821" spans="1:70" ht="13.2" x14ac:dyDescent="0.25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26"/>
      <c r="BC1821" s="15"/>
      <c r="BR1821" s="15"/>
    </row>
    <row r="1822" spans="1:70" ht="13.2" x14ac:dyDescent="0.25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26"/>
      <c r="BC1822" s="15"/>
      <c r="BR1822" s="15"/>
    </row>
    <row r="1823" spans="1:70" ht="13.2" x14ac:dyDescent="0.25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26"/>
      <c r="BC1823" s="15"/>
      <c r="BR1823" s="15"/>
    </row>
    <row r="1824" spans="1:70" ht="13.2" x14ac:dyDescent="0.25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26"/>
      <c r="BC1824" s="15"/>
      <c r="BR1824" s="15"/>
    </row>
    <row r="1825" spans="1:70" ht="13.2" x14ac:dyDescent="0.25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26"/>
      <c r="BC1825" s="15"/>
      <c r="BR1825" s="15"/>
    </row>
    <row r="1826" spans="1:70" ht="13.2" x14ac:dyDescent="0.25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26"/>
      <c r="BC1826" s="15"/>
      <c r="BR1826" s="15"/>
    </row>
    <row r="1827" spans="1:70" ht="13.2" x14ac:dyDescent="0.25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26"/>
      <c r="BC1827" s="15"/>
      <c r="BR1827" s="15"/>
    </row>
    <row r="1828" spans="1:70" ht="13.2" x14ac:dyDescent="0.25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26"/>
      <c r="BC1828" s="15"/>
      <c r="BR1828" s="15"/>
    </row>
    <row r="1829" spans="1:70" ht="13.2" x14ac:dyDescent="0.25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26"/>
      <c r="BC1829" s="15"/>
      <c r="BR1829" s="15"/>
    </row>
    <row r="1830" spans="1:70" ht="13.2" x14ac:dyDescent="0.25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26"/>
      <c r="BC1830" s="15"/>
      <c r="BR1830" s="15"/>
    </row>
    <row r="1831" spans="1:70" ht="13.2" x14ac:dyDescent="0.25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26"/>
      <c r="BC1831" s="15"/>
      <c r="BR1831" s="15"/>
    </row>
    <row r="1832" spans="1:70" ht="13.2" x14ac:dyDescent="0.25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26"/>
      <c r="BC1832" s="15"/>
      <c r="BR1832" s="15"/>
    </row>
    <row r="1833" spans="1:70" ht="13.2" x14ac:dyDescent="0.25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26"/>
      <c r="BC1833" s="15"/>
      <c r="BR1833" s="15"/>
    </row>
    <row r="1834" spans="1:70" ht="13.2" x14ac:dyDescent="0.25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26"/>
      <c r="BC1834" s="15"/>
      <c r="BR1834" s="15"/>
    </row>
    <row r="1835" spans="1:70" ht="13.2" x14ac:dyDescent="0.25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26"/>
      <c r="BC1835" s="15"/>
      <c r="BR1835" s="15"/>
    </row>
    <row r="1836" spans="1:70" ht="13.2" x14ac:dyDescent="0.25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26"/>
      <c r="BC1836" s="15"/>
      <c r="BR1836" s="15"/>
    </row>
    <row r="1837" spans="1:70" ht="13.2" x14ac:dyDescent="0.25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26"/>
      <c r="BC1837" s="15"/>
      <c r="BR1837" s="15"/>
    </row>
    <row r="1838" spans="1:70" ht="13.2" x14ac:dyDescent="0.25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26"/>
      <c r="BC1838" s="15"/>
      <c r="BR1838" s="15"/>
    </row>
    <row r="1839" spans="1:70" ht="13.2" x14ac:dyDescent="0.25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26"/>
      <c r="BC1839" s="15"/>
      <c r="BR1839" s="15"/>
    </row>
    <row r="1840" spans="1:70" ht="13.2" x14ac:dyDescent="0.25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26"/>
      <c r="BC1840" s="15"/>
      <c r="BR1840" s="15"/>
    </row>
    <row r="1841" spans="1:70" ht="13.2" x14ac:dyDescent="0.25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26"/>
      <c r="BC1841" s="15"/>
      <c r="BR1841" s="15"/>
    </row>
    <row r="1842" spans="1:70" ht="13.2" x14ac:dyDescent="0.25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26"/>
      <c r="BC1842" s="15"/>
      <c r="BR1842" s="15"/>
    </row>
    <row r="1843" spans="1:70" ht="13.2" x14ac:dyDescent="0.25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26"/>
      <c r="BC1843" s="15"/>
      <c r="BR1843" s="15"/>
    </row>
    <row r="1844" spans="1:70" ht="13.2" x14ac:dyDescent="0.25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26"/>
      <c r="BC1844" s="15"/>
      <c r="BR1844" s="15"/>
    </row>
    <row r="1845" spans="1:70" ht="13.2" x14ac:dyDescent="0.25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26"/>
      <c r="BC1845" s="15"/>
      <c r="BR1845" s="15"/>
    </row>
    <row r="1846" spans="1:70" ht="13.2" x14ac:dyDescent="0.25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26"/>
      <c r="BC1846" s="15"/>
      <c r="BR1846" s="15"/>
    </row>
    <row r="1847" spans="1:70" ht="13.2" x14ac:dyDescent="0.25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26"/>
      <c r="BC1847" s="15"/>
      <c r="BR1847" s="15"/>
    </row>
    <row r="1848" spans="1:70" ht="13.2" x14ac:dyDescent="0.25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26"/>
      <c r="BC1848" s="15"/>
      <c r="BR1848" s="15"/>
    </row>
    <row r="1849" spans="1:70" ht="13.2" x14ac:dyDescent="0.25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26"/>
      <c r="BC1849" s="15"/>
      <c r="BR1849" s="15"/>
    </row>
    <row r="1850" spans="1:70" ht="13.2" x14ac:dyDescent="0.25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26"/>
      <c r="BC1850" s="15"/>
      <c r="BR1850" s="15"/>
    </row>
    <row r="1851" spans="1:70" ht="13.2" x14ac:dyDescent="0.25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26"/>
      <c r="BC1851" s="15"/>
      <c r="BR1851" s="15"/>
    </row>
    <row r="1852" spans="1:70" ht="13.2" x14ac:dyDescent="0.25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26"/>
      <c r="BC1852" s="15"/>
      <c r="BR1852" s="15"/>
    </row>
    <row r="1853" spans="1:70" ht="13.2" x14ac:dyDescent="0.25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26"/>
      <c r="BC1853" s="15"/>
      <c r="BR1853" s="15"/>
    </row>
    <row r="1854" spans="1:70" ht="13.2" x14ac:dyDescent="0.25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26"/>
      <c r="BC1854" s="15"/>
      <c r="BR1854" s="15"/>
    </row>
    <row r="1855" spans="1:70" ht="13.2" x14ac:dyDescent="0.25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26"/>
      <c r="BC1855" s="15"/>
      <c r="BR1855" s="15"/>
    </row>
    <row r="1856" spans="1:70" ht="13.2" x14ac:dyDescent="0.25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26"/>
      <c r="BC1856" s="15"/>
      <c r="BR1856" s="15"/>
    </row>
    <row r="1857" spans="1:70" ht="13.2" x14ac:dyDescent="0.25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26"/>
      <c r="BC1857" s="15"/>
      <c r="BR1857" s="15"/>
    </row>
    <row r="1858" spans="1:70" ht="13.2" x14ac:dyDescent="0.25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26"/>
      <c r="BC1858" s="15"/>
      <c r="BR1858" s="15"/>
    </row>
    <row r="1859" spans="1:70" ht="13.2" x14ac:dyDescent="0.25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26"/>
      <c r="BC1859" s="15"/>
      <c r="BR1859" s="15"/>
    </row>
    <row r="1860" spans="1:70" ht="13.2" x14ac:dyDescent="0.25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26"/>
      <c r="BC1860" s="15"/>
      <c r="BR1860" s="15"/>
    </row>
    <row r="1861" spans="1:70" ht="13.2" x14ac:dyDescent="0.25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26"/>
      <c r="BC1861" s="15"/>
      <c r="BR1861" s="15"/>
    </row>
    <row r="1862" spans="1:70" ht="13.2" x14ac:dyDescent="0.25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26"/>
      <c r="BC1862" s="15"/>
      <c r="BR1862" s="15"/>
    </row>
    <row r="1863" spans="1:70" ht="13.2" x14ac:dyDescent="0.25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26"/>
      <c r="BC1863" s="15"/>
      <c r="BR1863" s="15"/>
    </row>
    <row r="1864" spans="1:70" ht="13.2" x14ac:dyDescent="0.25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26"/>
      <c r="BC1864" s="15"/>
      <c r="BR1864" s="15"/>
    </row>
    <row r="1865" spans="1:70" ht="13.2" x14ac:dyDescent="0.25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26"/>
      <c r="BC1865" s="15"/>
      <c r="BR1865" s="15"/>
    </row>
    <row r="1866" spans="1:70" ht="13.2" x14ac:dyDescent="0.25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26"/>
      <c r="BC1866" s="15"/>
      <c r="BR1866" s="15"/>
    </row>
    <row r="1867" spans="1:70" ht="13.2" x14ac:dyDescent="0.25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26"/>
      <c r="BC1867" s="15"/>
      <c r="BR1867" s="15"/>
    </row>
    <row r="1868" spans="1:70" ht="13.2" x14ac:dyDescent="0.25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26"/>
      <c r="BC1868" s="15"/>
      <c r="BR1868" s="15"/>
    </row>
    <row r="1869" spans="1:70" ht="13.2" x14ac:dyDescent="0.25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26"/>
      <c r="BC1869" s="15"/>
      <c r="BR1869" s="15"/>
    </row>
    <row r="1870" spans="1:70" ht="13.2" x14ac:dyDescent="0.25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26"/>
      <c r="BC1870" s="15"/>
      <c r="BR1870" s="15"/>
    </row>
    <row r="1871" spans="1:70" ht="13.2" x14ac:dyDescent="0.25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26"/>
      <c r="BC1871" s="15"/>
      <c r="BR1871" s="15"/>
    </row>
    <row r="1872" spans="1:70" ht="13.2" x14ac:dyDescent="0.25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26"/>
      <c r="BC1872" s="15"/>
      <c r="BR1872" s="15"/>
    </row>
    <row r="1873" spans="1:70" ht="13.2" x14ac:dyDescent="0.25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26"/>
      <c r="BC1873" s="15"/>
      <c r="BR1873" s="15"/>
    </row>
    <row r="1874" spans="1:70" ht="13.2" x14ac:dyDescent="0.25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26"/>
      <c r="BC1874" s="15"/>
      <c r="BR1874" s="15"/>
    </row>
    <row r="1875" spans="1:70" ht="13.2" x14ac:dyDescent="0.25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26"/>
      <c r="BC1875" s="15"/>
      <c r="BR1875" s="15"/>
    </row>
    <row r="1876" spans="1:70" ht="13.2" x14ac:dyDescent="0.25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26"/>
      <c r="BC1876" s="15"/>
      <c r="BR1876" s="15"/>
    </row>
    <row r="1877" spans="1:70" ht="13.2" x14ac:dyDescent="0.25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26"/>
      <c r="BC1877" s="15"/>
      <c r="BR1877" s="15"/>
    </row>
    <row r="1878" spans="1:70" ht="13.2" x14ac:dyDescent="0.25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26"/>
      <c r="BC1878" s="15"/>
      <c r="BR1878" s="15"/>
    </row>
    <row r="1879" spans="1:70" ht="13.2" x14ac:dyDescent="0.25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26"/>
      <c r="BC1879" s="15"/>
      <c r="BR1879" s="15"/>
    </row>
    <row r="1880" spans="1:70" ht="13.2" x14ac:dyDescent="0.25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26"/>
      <c r="BC1880" s="15"/>
      <c r="BR1880" s="15"/>
    </row>
    <row r="1881" spans="1:70" ht="13.2" x14ac:dyDescent="0.25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26"/>
      <c r="BC1881" s="15"/>
      <c r="BR1881" s="15"/>
    </row>
    <row r="1882" spans="1:70" ht="13.2" x14ac:dyDescent="0.25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26"/>
      <c r="BC1882" s="15"/>
      <c r="BR1882" s="15"/>
    </row>
    <row r="1883" spans="1:70" ht="13.2" x14ac:dyDescent="0.25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26"/>
      <c r="BC1883" s="15"/>
      <c r="BR1883" s="15"/>
    </row>
    <row r="1884" spans="1:70" ht="13.2" x14ac:dyDescent="0.25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26"/>
      <c r="BC1884" s="15"/>
      <c r="BR1884" s="15"/>
    </row>
    <row r="1885" spans="1:70" ht="13.2" x14ac:dyDescent="0.25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26"/>
      <c r="BC1885" s="15"/>
      <c r="BR1885" s="15"/>
    </row>
    <row r="1886" spans="1:70" ht="13.2" x14ac:dyDescent="0.25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26"/>
      <c r="BC1886" s="15"/>
      <c r="BR1886" s="15"/>
    </row>
    <row r="1887" spans="1:70" ht="13.2" x14ac:dyDescent="0.25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26"/>
      <c r="BC1887" s="15"/>
      <c r="BR1887" s="15"/>
    </row>
    <row r="1888" spans="1:70" ht="13.2" x14ac:dyDescent="0.25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26"/>
      <c r="BC1888" s="15"/>
      <c r="BR1888" s="15"/>
    </row>
    <row r="1889" spans="1:70" ht="13.2" x14ac:dyDescent="0.25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26"/>
      <c r="BC1889" s="15"/>
      <c r="BR1889" s="15"/>
    </row>
    <row r="1890" spans="1:70" ht="13.2" x14ac:dyDescent="0.25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15"/>
      <c r="AG1890" s="15"/>
      <c r="AH1890" s="15"/>
      <c r="AI1890" s="26"/>
      <c r="BC1890" s="15"/>
      <c r="BR1890" s="15"/>
    </row>
    <row r="1891" spans="1:70" ht="13.2" x14ac:dyDescent="0.25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26"/>
      <c r="BC1891" s="15"/>
      <c r="BR1891" s="15"/>
    </row>
    <row r="1892" spans="1:70" ht="13.2" x14ac:dyDescent="0.25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26"/>
      <c r="BC1892" s="15"/>
      <c r="BR1892" s="15"/>
    </row>
    <row r="1893" spans="1:70" ht="13.2" x14ac:dyDescent="0.25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26"/>
      <c r="BC1893" s="15"/>
      <c r="BR1893" s="15"/>
    </row>
    <row r="1894" spans="1:70" ht="13.2" x14ac:dyDescent="0.25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26"/>
      <c r="BC1894" s="15"/>
      <c r="BR1894" s="15"/>
    </row>
    <row r="1895" spans="1:70" ht="13.2" x14ac:dyDescent="0.25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26"/>
      <c r="BC1895" s="15"/>
      <c r="BR1895" s="15"/>
    </row>
    <row r="1896" spans="1:70" ht="13.2" x14ac:dyDescent="0.25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26"/>
      <c r="BC1896" s="15"/>
      <c r="BR1896" s="15"/>
    </row>
    <row r="1897" spans="1:70" ht="13.2" x14ac:dyDescent="0.25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26"/>
      <c r="BC1897" s="15"/>
      <c r="BR1897" s="15"/>
    </row>
    <row r="1898" spans="1:70" ht="13.2" x14ac:dyDescent="0.25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26"/>
      <c r="BC1898" s="15"/>
      <c r="BR1898" s="15"/>
    </row>
    <row r="1899" spans="1:70" ht="13.2" x14ac:dyDescent="0.25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26"/>
      <c r="BC1899" s="15"/>
      <c r="BR1899" s="15"/>
    </row>
    <row r="1900" spans="1:70" ht="13.2" x14ac:dyDescent="0.25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  <c r="AD1900" s="15"/>
      <c r="AE1900" s="15"/>
      <c r="AF1900" s="15"/>
      <c r="AG1900" s="15"/>
      <c r="AH1900" s="15"/>
      <c r="AI1900" s="26"/>
      <c r="BC1900" s="15"/>
      <c r="BR1900" s="15"/>
    </row>
    <row r="1901" spans="1:70" ht="13.2" x14ac:dyDescent="0.25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26"/>
      <c r="BC1901" s="15"/>
      <c r="BR1901" s="15"/>
    </row>
    <row r="1902" spans="1:70" ht="13.2" x14ac:dyDescent="0.25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26"/>
      <c r="BC1902" s="15"/>
      <c r="BR1902" s="15"/>
    </row>
    <row r="1903" spans="1:70" ht="13.2" x14ac:dyDescent="0.25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26"/>
      <c r="BC1903" s="15"/>
      <c r="BR1903" s="15"/>
    </row>
    <row r="1904" spans="1:70" ht="13.2" x14ac:dyDescent="0.25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26"/>
      <c r="BC1904" s="15"/>
      <c r="BR1904" s="15"/>
    </row>
    <row r="1905" spans="1:70" ht="13.2" x14ac:dyDescent="0.25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26"/>
      <c r="BC1905" s="15"/>
      <c r="BR1905" s="15"/>
    </row>
    <row r="1906" spans="1:70" ht="13.2" x14ac:dyDescent="0.25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26"/>
      <c r="BC1906" s="15"/>
      <c r="BR1906" s="15"/>
    </row>
    <row r="1907" spans="1:70" ht="13.2" x14ac:dyDescent="0.25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26"/>
      <c r="BC1907" s="15"/>
      <c r="BR1907" s="15"/>
    </row>
    <row r="1908" spans="1:70" ht="13.2" x14ac:dyDescent="0.25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26"/>
      <c r="BC1908" s="15"/>
      <c r="BR1908" s="15"/>
    </row>
    <row r="1909" spans="1:70" ht="13.2" x14ac:dyDescent="0.25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26"/>
      <c r="BC1909" s="15"/>
      <c r="BR1909" s="15"/>
    </row>
    <row r="1910" spans="1:70" ht="13.2" x14ac:dyDescent="0.25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26"/>
      <c r="BC1910" s="15"/>
      <c r="BR1910" s="15"/>
    </row>
    <row r="1911" spans="1:70" ht="13.2" x14ac:dyDescent="0.25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26"/>
      <c r="BC1911" s="15"/>
      <c r="BR1911" s="15"/>
    </row>
    <row r="1912" spans="1:70" ht="13.2" x14ac:dyDescent="0.25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26"/>
      <c r="BC1912" s="15"/>
      <c r="BR1912" s="15"/>
    </row>
    <row r="1913" spans="1:70" ht="13.2" x14ac:dyDescent="0.25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26"/>
      <c r="BC1913" s="15"/>
      <c r="BR1913" s="15"/>
    </row>
    <row r="1914" spans="1:70" ht="13.2" x14ac:dyDescent="0.25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26"/>
      <c r="BC1914" s="15"/>
      <c r="BR1914" s="15"/>
    </row>
    <row r="1915" spans="1:70" ht="13.2" x14ac:dyDescent="0.25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26"/>
      <c r="BC1915" s="15"/>
      <c r="BR1915" s="15"/>
    </row>
    <row r="1916" spans="1:70" ht="13.2" x14ac:dyDescent="0.25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26"/>
      <c r="BC1916" s="15"/>
      <c r="BR1916" s="15"/>
    </row>
    <row r="1917" spans="1:70" ht="13.2" x14ac:dyDescent="0.25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26"/>
      <c r="BC1917" s="15"/>
      <c r="BR1917" s="15"/>
    </row>
    <row r="1918" spans="1:70" ht="13.2" x14ac:dyDescent="0.25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26"/>
      <c r="BC1918" s="15"/>
      <c r="BR1918" s="15"/>
    </row>
    <row r="1919" spans="1:70" ht="13.2" x14ac:dyDescent="0.25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26"/>
      <c r="BC1919" s="15"/>
      <c r="BR1919" s="15"/>
    </row>
    <row r="1920" spans="1:70" ht="13.2" x14ac:dyDescent="0.25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26"/>
      <c r="BC1920" s="15"/>
      <c r="BR1920" s="15"/>
    </row>
    <row r="1921" spans="1:70" ht="13.2" x14ac:dyDescent="0.25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26"/>
      <c r="BC1921" s="15"/>
      <c r="BR1921" s="15"/>
    </row>
    <row r="1922" spans="1:70" ht="13.2" x14ac:dyDescent="0.25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26"/>
      <c r="BC1922" s="15"/>
      <c r="BR1922" s="15"/>
    </row>
    <row r="1923" spans="1:70" ht="13.2" x14ac:dyDescent="0.25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26"/>
      <c r="BC1923" s="15"/>
      <c r="BR1923" s="15"/>
    </row>
    <row r="1924" spans="1:70" ht="13.2" x14ac:dyDescent="0.25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26"/>
      <c r="BC1924" s="15"/>
      <c r="BR1924" s="15"/>
    </row>
    <row r="1925" spans="1:70" ht="13.2" x14ac:dyDescent="0.25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26"/>
      <c r="BC1925" s="15"/>
      <c r="BR1925" s="15"/>
    </row>
    <row r="1926" spans="1:70" ht="13.2" x14ac:dyDescent="0.25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26"/>
      <c r="BC1926" s="15"/>
      <c r="BR1926" s="15"/>
    </row>
    <row r="1927" spans="1:70" ht="13.2" x14ac:dyDescent="0.25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26"/>
      <c r="BC1927" s="15"/>
      <c r="BR1927" s="15"/>
    </row>
    <row r="1928" spans="1:70" ht="13.2" x14ac:dyDescent="0.25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26"/>
      <c r="BC1928" s="15"/>
      <c r="BR1928" s="15"/>
    </row>
    <row r="1929" spans="1:70" ht="13.2" x14ac:dyDescent="0.25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26"/>
      <c r="BC1929" s="15"/>
      <c r="BR1929" s="15"/>
    </row>
    <row r="1930" spans="1:70" ht="13.2" x14ac:dyDescent="0.25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26"/>
      <c r="BC1930" s="15"/>
      <c r="BR1930" s="15"/>
    </row>
    <row r="1931" spans="1:70" ht="13.2" x14ac:dyDescent="0.25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26"/>
      <c r="BC1931" s="15"/>
      <c r="BR1931" s="15"/>
    </row>
    <row r="1932" spans="1:70" ht="13.2" x14ac:dyDescent="0.25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26"/>
      <c r="BC1932" s="15"/>
      <c r="BR1932" s="15"/>
    </row>
    <row r="1933" spans="1:70" ht="13.2" x14ac:dyDescent="0.25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26"/>
      <c r="BC1933" s="15"/>
      <c r="BR1933" s="15"/>
    </row>
    <row r="1934" spans="1:70" ht="13.2" x14ac:dyDescent="0.25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26"/>
      <c r="BC1934" s="15"/>
      <c r="BR1934" s="15"/>
    </row>
    <row r="1935" spans="1:70" ht="13.2" x14ac:dyDescent="0.25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26"/>
      <c r="BC1935" s="15"/>
      <c r="BR1935" s="15"/>
    </row>
    <row r="1936" spans="1:70" ht="13.2" x14ac:dyDescent="0.25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26"/>
      <c r="BC1936" s="15"/>
      <c r="BR1936" s="15"/>
    </row>
    <row r="1937" spans="1:70" ht="13.2" x14ac:dyDescent="0.25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26"/>
      <c r="BC1937" s="15"/>
      <c r="BR1937" s="15"/>
    </row>
    <row r="1938" spans="1:70" ht="13.2" x14ac:dyDescent="0.25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26"/>
      <c r="BC1938" s="15"/>
      <c r="BR1938" s="15"/>
    </row>
    <row r="1939" spans="1:70" ht="13.2" x14ac:dyDescent="0.25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26"/>
      <c r="BC1939" s="15"/>
      <c r="BR1939" s="15"/>
    </row>
    <row r="1940" spans="1:70" ht="13.2" x14ac:dyDescent="0.25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26"/>
      <c r="BC1940" s="15"/>
      <c r="BR1940" s="15"/>
    </row>
    <row r="1941" spans="1:70" ht="13.2" x14ac:dyDescent="0.25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26"/>
      <c r="BC1941" s="15"/>
      <c r="BR1941" s="15"/>
    </row>
    <row r="1942" spans="1:70" ht="13.2" x14ac:dyDescent="0.25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26"/>
      <c r="BC1942" s="15"/>
      <c r="BR1942" s="15"/>
    </row>
    <row r="1943" spans="1:70" ht="13.2" x14ac:dyDescent="0.25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26"/>
      <c r="BC1943" s="15"/>
      <c r="BR1943" s="15"/>
    </row>
    <row r="1944" spans="1:70" ht="13.2" x14ac:dyDescent="0.25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26"/>
      <c r="BC1944" s="15"/>
      <c r="BR1944" s="15"/>
    </row>
    <row r="1945" spans="1:70" ht="13.2" x14ac:dyDescent="0.25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26"/>
      <c r="BC1945" s="15"/>
      <c r="BR1945" s="15"/>
    </row>
    <row r="1946" spans="1:70" ht="13.2" x14ac:dyDescent="0.25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26"/>
      <c r="BC1946" s="15"/>
      <c r="BR1946" s="15"/>
    </row>
    <row r="1947" spans="1:70" ht="13.2" x14ac:dyDescent="0.25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26"/>
      <c r="BC1947" s="15"/>
      <c r="BR1947" s="15"/>
    </row>
    <row r="1948" spans="1:70" ht="13.2" x14ac:dyDescent="0.25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26"/>
      <c r="BC1948" s="15"/>
      <c r="BR1948" s="15"/>
    </row>
    <row r="1949" spans="1:70" ht="13.2" x14ac:dyDescent="0.25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26"/>
      <c r="BC1949" s="15"/>
      <c r="BR1949" s="15"/>
    </row>
    <row r="1950" spans="1:70" ht="13.2" x14ac:dyDescent="0.25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15"/>
      <c r="AG1950" s="15"/>
      <c r="AH1950" s="15"/>
      <c r="AI1950" s="26"/>
      <c r="BC1950" s="15"/>
      <c r="BR1950" s="15"/>
    </row>
    <row r="1951" spans="1:70" ht="13.2" x14ac:dyDescent="0.25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26"/>
      <c r="BC1951" s="15"/>
      <c r="BR1951" s="15"/>
    </row>
    <row r="1952" spans="1:70" ht="13.2" x14ac:dyDescent="0.25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15"/>
      <c r="AG1952" s="15"/>
      <c r="AH1952" s="15"/>
      <c r="AI1952" s="26"/>
      <c r="BC1952" s="15"/>
      <c r="BR1952" s="15"/>
    </row>
    <row r="1953" spans="1:70" ht="13.2" x14ac:dyDescent="0.25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26"/>
      <c r="BC1953" s="15"/>
      <c r="BR1953" s="15"/>
    </row>
    <row r="1954" spans="1:70" ht="13.2" x14ac:dyDescent="0.25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26"/>
      <c r="BC1954" s="15"/>
      <c r="BR1954" s="15"/>
    </row>
    <row r="1955" spans="1:70" ht="13.2" x14ac:dyDescent="0.25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26"/>
      <c r="BC1955" s="15"/>
      <c r="BR1955" s="15"/>
    </row>
    <row r="1956" spans="1:70" ht="13.2" x14ac:dyDescent="0.25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26"/>
      <c r="BC1956" s="15"/>
      <c r="BR1956" s="15"/>
    </row>
    <row r="1957" spans="1:70" ht="13.2" x14ac:dyDescent="0.25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26"/>
      <c r="BC1957" s="15"/>
      <c r="BR1957" s="15"/>
    </row>
    <row r="1958" spans="1:70" ht="13.2" x14ac:dyDescent="0.25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  <c r="AD1958" s="15"/>
      <c r="AE1958" s="15"/>
      <c r="AF1958" s="15"/>
      <c r="AG1958" s="15"/>
      <c r="AH1958" s="15"/>
      <c r="AI1958" s="26"/>
      <c r="BC1958" s="15"/>
      <c r="BR1958" s="15"/>
    </row>
    <row r="1959" spans="1:70" ht="13.2" x14ac:dyDescent="0.25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26"/>
      <c r="BC1959" s="15"/>
      <c r="BR1959" s="15"/>
    </row>
    <row r="1960" spans="1:70" ht="13.2" x14ac:dyDescent="0.25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26"/>
      <c r="BC1960" s="15"/>
      <c r="BR1960" s="15"/>
    </row>
    <row r="1961" spans="1:70" ht="13.2" x14ac:dyDescent="0.25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  <c r="AF1961" s="15"/>
      <c r="AG1961" s="15"/>
      <c r="AH1961" s="15"/>
      <c r="AI1961" s="26"/>
      <c r="BC1961" s="15"/>
      <c r="BR1961" s="15"/>
    </row>
    <row r="1962" spans="1:70" ht="13.2" x14ac:dyDescent="0.25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26"/>
      <c r="BC1962" s="15"/>
      <c r="BR1962" s="15"/>
    </row>
    <row r="1963" spans="1:70" ht="13.2" x14ac:dyDescent="0.25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26"/>
      <c r="BC1963" s="15"/>
      <c r="BR1963" s="15"/>
    </row>
    <row r="1964" spans="1:70" ht="13.2" x14ac:dyDescent="0.25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26"/>
      <c r="BC1964" s="15"/>
      <c r="BR1964" s="15"/>
    </row>
    <row r="1965" spans="1:70" ht="13.2" x14ac:dyDescent="0.25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26"/>
      <c r="BC1965" s="15"/>
      <c r="BR1965" s="15"/>
    </row>
    <row r="1966" spans="1:70" ht="13.2" x14ac:dyDescent="0.25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26"/>
      <c r="BC1966" s="15"/>
      <c r="BR1966" s="15"/>
    </row>
    <row r="1967" spans="1:70" ht="13.2" x14ac:dyDescent="0.25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26"/>
      <c r="BC1967" s="15"/>
      <c r="BR1967" s="15"/>
    </row>
    <row r="1968" spans="1:70" ht="13.2" x14ac:dyDescent="0.25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26"/>
      <c r="BC1968" s="15"/>
      <c r="BR1968" s="15"/>
    </row>
    <row r="1969" spans="1:70" ht="13.2" x14ac:dyDescent="0.25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26"/>
      <c r="BC1969" s="15"/>
      <c r="BR1969" s="15"/>
    </row>
    <row r="1970" spans="1:70" ht="13.2" x14ac:dyDescent="0.25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26"/>
      <c r="BC1970" s="15"/>
      <c r="BR1970" s="15"/>
    </row>
    <row r="1971" spans="1:70" ht="13.2" x14ac:dyDescent="0.25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26"/>
      <c r="BC1971" s="15"/>
      <c r="BR1971" s="15"/>
    </row>
    <row r="1972" spans="1:70" ht="13.2" x14ac:dyDescent="0.25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26"/>
      <c r="BC1972" s="15"/>
      <c r="BR1972" s="15"/>
    </row>
    <row r="1973" spans="1:70" ht="13.2" x14ac:dyDescent="0.25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/>
      <c r="AG1973" s="15"/>
      <c r="AH1973" s="15"/>
      <c r="AI1973" s="26"/>
      <c r="BC1973" s="15"/>
      <c r="BR1973" s="15"/>
    </row>
    <row r="1974" spans="1:70" ht="13.2" x14ac:dyDescent="0.25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26"/>
      <c r="BC1974" s="15"/>
      <c r="BR1974" s="15"/>
    </row>
    <row r="1975" spans="1:70" ht="13.2" x14ac:dyDescent="0.25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26"/>
      <c r="BC1975" s="15"/>
      <c r="BR1975" s="15"/>
    </row>
    <row r="1976" spans="1:70" ht="13.2" x14ac:dyDescent="0.25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26"/>
      <c r="BC1976" s="15"/>
      <c r="BR1976" s="15"/>
    </row>
    <row r="1977" spans="1:70" ht="13.2" x14ac:dyDescent="0.25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26"/>
      <c r="BC1977" s="15"/>
      <c r="BR1977" s="15"/>
    </row>
    <row r="1978" spans="1:70" ht="13.2" x14ac:dyDescent="0.25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26"/>
      <c r="BC1978" s="15"/>
      <c r="BR1978" s="15"/>
    </row>
    <row r="1979" spans="1:70" ht="13.2" x14ac:dyDescent="0.25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26"/>
      <c r="BC1979" s="15"/>
      <c r="BR1979" s="15"/>
    </row>
    <row r="1980" spans="1:70" ht="13.2" x14ac:dyDescent="0.25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  <c r="AG1980" s="15"/>
      <c r="AH1980" s="15"/>
      <c r="AI1980" s="26"/>
      <c r="BC1980" s="15"/>
      <c r="BR1980" s="15"/>
    </row>
    <row r="1981" spans="1:70" ht="13.2" x14ac:dyDescent="0.25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15"/>
      <c r="AG1981" s="15"/>
      <c r="AH1981" s="15"/>
      <c r="AI1981" s="26"/>
      <c r="BC1981" s="15"/>
      <c r="BR1981" s="15"/>
    </row>
    <row r="1982" spans="1:70" ht="13.2" x14ac:dyDescent="0.25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  <c r="AF1982" s="15"/>
      <c r="AG1982" s="15"/>
      <c r="AH1982" s="15"/>
      <c r="AI1982" s="26"/>
      <c r="BC1982" s="15"/>
      <c r="BR1982" s="15"/>
    </row>
    <row r="1983" spans="1:70" ht="13.2" x14ac:dyDescent="0.25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15"/>
      <c r="AG1983" s="15"/>
      <c r="AH1983" s="15"/>
      <c r="AI1983" s="26"/>
      <c r="BC1983" s="15"/>
      <c r="BR1983" s="15"/>
    </row>
    <row r="1984" spans="1:70" ht="13.2" x14ac:dyDescent="0.25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  <c r="AD1984" s="15"/>
      <c r="AE1984" s="15"/>
      <c r="AF1984" s="15"/>
      <c r="AG1984" s="15"/>
      <c r="AH1984" s="15"/>
      <c r="AI1984" s="26"/>
      <c r="BC1984" s="15"/>
      <c r="BR1984" s="15"/>
    </row>
    <row r="1985" spans="1:70" ht="13.2" x14ac:dyDescent="0.25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  <c r="AF1985" s="15"/>
      <c r="AG1985" s="15"/>
      <c r="AH1985" s="15"/>
      <c r="AI1985" s="26"/>
      <c r="BC1985" s="15"/>
      <c r="BR1985" s="15"/>
    </row>
    <row r="1986" spans="1:70" ht="13.2" x14ac:dyDescent="0.25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15"/>
      <c r="AG1986" s="15"/>
      <c r="AH1986" s="15"/>
      <c r="AI1986" s="26"/>
      <c r="BC1986" s="15"/>
      <c r="BR1986" s="15"/>
    </row>
    <row r="1987" spans="1:70" ht="13.2" x14ac:dyDescent="0.25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F1987" s="15"/>
      <c r="AG1987" s="15"/>
      <c r="AH1987" s="15"/>
      <c r="AI1987" s="26"/>
      <c r="BC1987" s="15"/>
      <c r="BR1987" s="15"/>
    </row>
    <row r="1988" spans="1:70" ht="13.2" x14ac:dyDescent="0.25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15"/>
      <c r="AG1988" s="15"/>
      <c r="AH1988" s="15"/>
      <c r="AI1988" s="26"/>
      <c r="BC1988" s="15"/>
      <c r="BR1988" s="15"/>
    </row>
    <row r="1989" spans="1:70" ht="13.2" x14ac:dyDescent="0.25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  <c r="AF1989" s="15"/>
      <c r="AG1989" s="15"/>
      <c r="AH1989" s="15"/>
      <c r="AI1989" s="26"/>
      <c r="BC1989" s="15"/>
      <c r="BR1989" s="15"/>
    </row>
    <row r="1990" spans="1:70" ht="13.2" x14ac:dyDescent="0.25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  <c r="AF1990" s="15"/>
      <c r="AG1990" s="15"/>
      <c r="AH1990" s="15"/>
      <c r="AI1990" s="26"/>
      <c r="BC1990" s="15"/>
      <c r="BR1990" s="15"/>
    </row>
    <row r="1991" spans="1:70" ht="13.2" x14ac:dyDescent="0.25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  <c r="AF1991" s="15"/>
      <c r="AG1991" s="15"/>
      <c r="AH1991" s="15"/>
      <c r="AI1991" s="26"/>
      <c r="BC1991" s="15"/>
      <c r="BR1991" s="15"/>
    </row>
    <row r="1992" spans="1:70" ht="13.2" x14ac:dyDescent="0.25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15"/>
      <c r="AG1992" s="15"/>
      <c r="AH1992" s="15"/>
      <c r="AI1992" s="26"/>
      <c r="BC1992" s="15"/>
      <c r="BR1992" s="15"/>
    </row>
    <row r="1993" spans="1:70" ht="13.2" x14ac:dyDescent="0.25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26"/>
      <c r="BC1993" s="15"/>
      <c r="BR1993" s="15"/>
    </row>
    <row r="1994" spans="1:70" ht="13.2" x14ac:dyDescent="0.25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  <c r="AF1994" s="15"/>
      <c r="AG1994" s="15"/>
      <c r="AH1994" s="15"/>
      <c r="AI1994" s="26"/>
      <c r="BC1994" s="15"/>
      <c r="BR1994" s="15"/>
    </row>
    <row r="1995" spans="1:70" ht="13.2" x14ac:dyDescent="0.25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  <c r="AF1995" s="15"/>
      <c r="AG1995" s="15"/>
      <c r="AH1995" s="15"/>
      <c r="AI1995" s="26"/>
      <c r="BC1995" s="15"/>
      <c r="BR1995" s="15"/>
    </row>
    <row r="1996" spans="1:70" ht="13.2" x14ac:dyDescent="0.25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  <c r="AF1996" s="15"/>
      <c r="AG1996" s="15"/>
      <c r="AH1996" s="15"/>
      <c r="AI1996" s="26"/>
      <c r="BC1996" s="15"/>
      <c r="BR1996" s="15"/>
    </row>
    <row r="1997" spans="1:70" ht="13.2" x14ac:dyDescent="0.25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  <c r="AD1997" s="15"/>
      <c r="AE1997" s="15"/>
      <c r="AF1997" s="15"/>
      <c r="AG1997" s="15"/>
      <c r="AH1997" s="15"/>
      <c r="AI1997" s="26"/>
      <c r="BC1997" s="15"/>
      <c r="BR1997" s="15"/>
    </row>
    <row r="1998" spans="1:70" ht="13.2" x14ac:dyDescent="0.25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  <c r="AF1998" s="15"/>
      <c r="AG1998" s="15"/>
      <c r="AH1998" s="15"/>
      <c r="AI1998" s="26"/>
      <c r="BC1998" s="15"/>
      <c r="BR1998" s="15"/>
    </row>
    <row r="1999" spans="1:70" ht="13.2" x14ac:dyDescent="0.25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  <c r="AF1999" s="15"/>
      <c r="AG1999" s="15"/>
      <c r="AH1999" s="15"/>
      <c r="AI1999" s="26"/>
      <c r="BC1999" s="15"/>
      <c r="BR1999" s="15"/>
    </row>
    <row r="2000" spans="1:70" ht="13.2" x14ac:dyDescent="0.25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15"/>
      <c r="AG2000" s="15"/>
      <c r="AH2000" s="15"/>
      <c r="AI2000" s="26"/>
      <c r="BC2000" s="15"/>
      <c r="BR2000" s="15"/>
    </row>
    <row r="2001" spans="1:70" ht="13.2" x14ac:dyDescent="0.25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5"/>
      <c r="AF2001" s="15"/>
      <c r="AG2001" s="15"/>
      <c r="AH2001" s="15"/>
      <c r="AI2001" s="26"/>
      <c r="BC2001" s="15"/>
      <c r="BR2001" s="15"/>
    </row>
    <row r="2002" spans="1:70" ht="13.2" x14ac:dyDescent="0.25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26"/>
      <c r="BC2002" s="15"/>
      <c r="BR2002" s="15"/>
    </row>
    <row r="2003" spans="1:70" ht="13.2" x14ac:dyDescent="0.25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  <c r="AF2003" s="15"/>
      <c r="AG2003" s="15"/>
      <c r="AH2003" s="15"/>
      <c r="AI2003" s="26"/>
      <c r="BC2003" s="15"/>
      <c r="BR2003" s="15"/>
    </row>
    <row r="2004" spans="1:70" ht="13.2" x14ac:dyDescent="0.25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/>
      <c r="AG2004" s="15"/>
      <c r="AH2004" s="15"/>
      <c r="AI2004" s="26"/>
      <c r="BC2004" s="15"/>
      <c r="BR2004" s="15"/>
    </row>
    <row r="2005" spans="1:70" ht="13.2" x14ac:dyDescent="0.25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  <c r="AD2005" s="15"/>
      <c r="AE2005" s="15"/>
      <c r="AF2005" s="15"/>
      <c r="AG2005" s="15"/>
      <c r="AH2005" s="15"/>
      <c r="AI2005" s="26"/>
      <c r="BC2005" s="15"/>
      <c r="BR2005" s="15"/>
    </row>
    <row r="2006" spans="1:70" ht="13.2" x14ac:dyDescent="0.25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  <c r="AF2006" s="15"/>
      <c r="AG2006" s="15"/>
      <c r="AH2006" s="15"/>
      <c r="AI2006" s="26"/>
      <c r="BC2006" s="15"/>
      <c r="BR2006" s="15"/>
    </row>
    <row r="2007" spans="1:70" ht="13.2" x14ac:dyDescent="0.25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  <c r="AF2007" s="15"/>
      <c r="AG2007" s="15"/>
      <c r="AH2007" s="15"/>
      <c r="AI2007" s="26"/>
      <c r="BC2007" s="15"/>
      <c r="BR2007" s="15"/>
    </row>
    <row r="2008" spans="1:70" ht="13.2" x14ac:dyDescent="0.25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  <c r="AF2008" s="15"/>
      <c r="AG2008" s="15"/>
      <c r="AH2008" s="15"/>
      <c r="AI2008" s="26"/>
      <c r="BC2008" s="15"/>
      <c r="BR2008" s="15"/>
    </row>
    <row r="2009" spans="1:70" ht="13.2" x14ac:dyDescent="0.25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  <c r="AE2009" s="15"/>
      <c r="AF2009" s="15"/>
      <c r="AG2009" s="15"/>
      <c r="AH2009" s="15"/>
      <c r="AI2009" s="26"/>
      <c r="BC2009" s="15"/>
      <c r="BR2009" s="15"/>
    </row>
    <row r="2010" spans="1:70" ht="13.2" x14ac:dyDescent="0.25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  <c r="AF2010" s="15"/>
      <c r="AG2010" s="15"/>
      <c r="AH2010" s="15"/>
      <c r="AI2010" s="26"/>
      <c r="BC2010" s="15"/>
      <c r="BR2010" s="15"/>
    </row>
    <row r="2011" spans="1:70" ht="13.2" x14ac:dyDescent="0.25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  <c r="AD2011" s="15"/>
      <c r="AE2011" s="15"/>
      <c r="AF2011" s="15"/>
      <c r="AG2011" s="15"/>
      <c r="AH2011" s="15"/>
      <c r="AI2011" s="26"/>
      <c r="BC2011" s="15"/>
      <c r="BR2011" s="15"/>
    </row>
    <row r="2012" spans="1:70" ht="13.2" x14ac:dyDescent="0.25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15"/>
      <c r="AG2012" s="15"/>
      <c r="AH2012" s="15"/>
      <c r="AI2012" s="26"/>
      <c r="BC2012" s="15"/>
      <c r="BR2012" s="15"/>
    </row>
    <row r="2013" spans="1:70" ht="13.2" x14ac:dyDescent="0.25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  <c r="AF2013" s="15"/>
      <c r="AG2013" s="15"/>
      <c r="AH2013" s="15"/>
      <c r="AI2013" s="26"/>
      <c r="BC2013" s="15"/>
      <c r="BR2013" s="15"/>
    </row>
    <row r="2014" spans="1:70" ht="13.2" x14ac:dyDescent="0.25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  <c r="AF2014" s="15"/>
      <c r="AG2014" s="15"/>
      <c r="AH2014" s="15"/>
      <c r="AI2014" s="26"/>
      <c r="BC2014" s="15"/>
      <c r="BR2014" s="15"/>
    </row>
    <row r="2015" spans="1:70" ht="13.2" x14ac:dyDescent="0.25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15"/>
      <c r="AG2015" s="15"/>
      <c r="AH2015" s="15"/>
      <c r="AI2015" s="26"/>
      <c r="BC2015" s="15"/>
      <c r="BR2015" s="15"/>
    </row>
    <row r="2016" spans="1:70" ht="13.2" x14ac:dyDescent="0.25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15"/>
      <c r="AG2016" s="15"/>
      <c r="AH2016" s="15"/>
      <c r="AI2016" s="26"/>
      <c r="BC2016" s="15"/>
      <c r="BR2016" s="15"/>
    </row>
    <row r="2017" spans="1:70" ht="13.2" x14ac:dyDescent="0.25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15"/>
      <c r="AG2017" s="15"/>
      <c r="AH2017" s="15"/>
      <c r="AI2017" s="26"/>
      <c r="BC2017" s="15"/>
      <c r="BR2017" s="15"/>
    </row>
    <row r="2018" spans="1:70" ht="13.2" x14ac:dyDescent="0.25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  <c r="AF2018" s="15"/>
      <c r="AG2018" s="15"/>
      <c r="AH2018" s="15"/>
      <c r="AI2018" s="26"/>
      <c r="BC2018" s="15"/>
      <c r="BR2018" s="15"/>
    </row>
    <row r="2019" spans="1:70" ht="13.2" x14ac:dyDescent="0.25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26"/>
      <c r="BC2019" s="15"/>
      <c r="BR2019" s="15"/>
    </row>
    <row r="2020" spans="1:70" ht="13.2" x14ac:dyDescent="0.25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  <c r="AF2020" s="15"/>
      <c r="AG2020" s="15"/>
      <c r="AH2020" s="15"/>
      <c r="AI2020" s="26"/>
      <c r="BC2020" s="15"/>
      <c r="BR2020" s="15"/>
    </row>
    <row r="2021" spans="1:70" ht="13.2" x14ac:dyDescent="0.25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26"/>
      <c r="BC2021" s="15"/>
      <c r="BR2021" s="15"/>
    </row>
    <row r="2022" spans="1:70" ht="13.2" x14ac:dyDescent="0.25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  <c r="AD2022" s="15"/>
      <c r="AE2022" s="15"/>
      <c r="AF2022" s="15"/>
      <c r="AG2022" s="15"/>
      <c r="AH2022" s="15"/>
      <c r="AI2022" s="26"/>
      <c r="BC2022" s="15"/>
      <c r="BR2022" s="15"/>
    </row>
    <row r="2023" spans="1:70" ht="13.2" x14ac:dyDescent="0.25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  <c r="AD2023" s="15"/>
      <c r="AE2023" s="15"/>
      <c r="AF2023" s="15"/>
      <c r="AG2023" s="15"/>
      <c r="AH2023" s="15"/>
      <c r="AI2023" s="26"/>
      <c r="BC2023" s="15"/>
      <c r="BR2023" s="15"/>
    </row>
    <row r="2024" spans="1:70" ht="13.2" x14ac:dyDescent="0.25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  <c r="AD2024" s="15"/>
      <c r="AE2024" s="15"/>
      <c r="AF2024" s="15"/>
      <c r="AG2024" s="15"/>
      <c r="AH2024" s="15"/>
      <c r="AI2024" s="26"/>
      <c r="BC2024" s="15"/>
      <c r="BR2024" s="15"/>
    </row>
    <row r="2025" spans="1:70" ht="13.2" x14ac:dyDescent="0.25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  <c r="AD2025" s="15"/>
      <c r="AE2025" s="15"/>
      <c r="AF2025" s="15"/>
      <c r="AG2025" s="15"/>
      <c r="AH2025" s="15"/>
      <c r="AI2025" s="26"/>
      <c r="BC2025" s="15"/>
      <c r="BR2025" s="15"/>
    </row>
    <row r="2026" spans="1:70" ht="13.2" x14ac:dyDescent="0.25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  <c r="AD2026" s="15"/>
      <c r="AE2026" s="15"/>
      <c r="AF2026" s="15"/>
      <c r="AG2026" s="15"/>
      <c r="AH2026" s="15"/>
      <c r="AI2026" s="26"/>
      <c r="BC2026" s="15"/>
      <c r="BR2026" s="15"/>
    </row>
    <row r="2027" spans="1:70" ht="13.2" x14ac:dyDescent="0.25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26"/>
      <c r="BC2027" s="15"/>
      <c r="BR2027" s="15"/>
    </row>
    <row r="2028" spans="1:70" ht="13.2" x14ac:dyDescent="0.25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  <c r="AF2028" s="15"/>
      <c r="AG2028" s="15"/>
      <c r="AH2028" s="15"/>
      <c r="AI2028" s="26"/>
      <c r="BC2028" s="15"/>
      <c r="BR2028" s="15"/>
    </row>
    <row r="2029" spans="1:70" ht="13.2" x14ac:dyDescent="0.25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  <c r="AD2029" s="15"/>
      <c r="AE2029" s="15"/>
      <c r="AF2029" s="15"/>
      <c r="AG2029" s="15"/>
      <c r="AH2029" s="15"/>
      <c r="AI2029" s="26"/>
      <c r="BC2029" s="15"/>
      <c r="BR2029" s="15"/>
    </row>
    <row r="2030" spans="1:70" ht="13.2" x14ac:dyDescent="0.25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26"/>
      <c r="BC2030" s="15"/>
      <c r="BR2030" s="15"/>
    </row>
    <row r="2031" spans="1:70" ht="13.2" x14ac:dyDescent="0.25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26"/>
      <c r="BC2031" s="15"/>
      <c r="BR2031" s="15"/>
    </row>
    <row r="2032" spans="1:70" ht="13.2" x14ac:dyDescent="0.25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26"/>
      <c r="BC2032" s="15"/>
      <c r="BR2032" s="15"/>
    </row>
    <row r="2033" spans="1:70" ht="13.2" x14ac:dyDescent="0.25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  <c r="AF2033" s="15"/>
      <c r="AG2033" s="15"/>
      <c r="AH2033" s="15"/>
      <c r="AI2033" s="26"/>
      <c r="BC2033" s="15"/>
      <c r="BR2033" s="15"/>
    </row>
    <row r="2034" spans="1:70" ht="13.2" x14ac:dyDescent="0.25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15"/>
      <c r="AG2034" s="15"/>
      <c r="AH2034" s="15"/>
      <c r="AI2034" s="26"/>
      <c r="BC2034" s="15"/>
      <c r="BR2034" s="15"/>
    </row>
    <row r="2035" spans="1:70" ht="13.2" x14ac:dyDescent="0.25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  <c r="AF2035" s="15"/>
      <c r="AG2035" s="15"/>
      <c r="AH2035" s="15"/>
      <c r="AI2035" s="26"/>
      <c r="BC2035" s="15"/>
      <c r="BR2035" s="15"/>
    </row>
    <row r="2036" spans="1:70" ht="13.2" x14ac:dyDescent="0.25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15"/>
      <c r="AG2036" s="15"/>
      <c r="AH2036" s="15"/>
      <c r="AI2036" s="26"/>
      <c r="BC2036" s="15"/>
      <c r="BR2036" s="15"/>
    </row>
    <row r="2037" spans="1:70" ht="13.2" x14ac:dyDescent="0.25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15"/>
      <c r="AG2037" s="15"/>
      <c r="AH2037" s="15"/>
      <c r="AI2037" s="26"/>
      <c r="BC2037" s="15"/>
      <c r="BR2037" s="15"/>
    </row>
    <row r="2038" spans="1:70" ht="13.2" x14ac:dyDescent="0.25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26"/>
      <c r="BC2038" s="15"/>
      <c r="BR2038" s="15"/>
    </row>
    <row r="2039" spans="1:70" ht="13.2" x14ac:dyDescent="0.25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15"/>
      <c r="AG2039" s="15"/>
      <c r="AH2039" s="15"/>
      <c r="AI2039" s="26"/>
      <c r="BC2039" s="15"/>
      <c r="BR2039" s="15"/>
    </row>
    <row r="2040" spans="1:70" ht="13.2" x14ac:dyDescent="0.25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15"/>
      <c r="AG2040" s="15"/>
      <c r="AH2040" s="15"/>
      <c r="AI2040" s="26"/>
      <c r="BC2040" s="15"/>
      <c r="BR2040" s="15"/>
    </row>
    <row r="2041" spans="1:70" ht="13.2" x14ac:dyDescent="0.25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  <c r="AF2041" s="15"/>
      <c r="AG2041" s="15"/>
      <c r="AH2041" s="15"/>
      <c r="AI2041" s="26"/>
      <c r="BC2041" s="15"/>
      <c r="BR2041" s="15"/>
    </row>
    <row r="2042" spans="1:70" ht="13.2" x14ac:dyDescent="0.25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  <c r="AD2042" s="15"/>
      <c r="AE2042" s="15"/>
      <c r="AF2042" s="15"/>
      <c r="AG2042" s="15"/>
      <c r="AH2042" s="15"/>
      <c r="AI2042" s="26"/>
      <c r="BC2042" s="15"/>
      <c r="BR2042" s="15"/>
    </row>
    <row r="2043" spans="1:70" ht="13.2" x14ac:dyDescent="0.25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15"/>
      <c r="AG2043" s="15"/>
      <c r="AH2043" s="15"/>
      <c r="AI2043" s="26"/>
      <c r="BC2043" s="15"/>
      <c r="BR2043" s="15"/>
    </row>
    <row r="2044" spans="1:70" ht="13.2" x14ac:dyDescent="0.25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15"/>
      <c r="AG2044" s="15"/>
      <c r="AH2044" s="15"/>
      <c r="AI2044" s="26"/>
      <c r="BC2044" s="15"/>
      <c r="BR2044" s="15"/>
    </row>
    <row r="2045" spans="1:70" ht="13.2" x14ac:dyDescent="0.25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15"/>
      <c r="AG2045" s="15"/>
      <c r="AH2045" s="15"/>
      <c r="AI2045" s="26"/>
      <c r="BC2045" s="15"/>
      <c r="BR2045" s="15"/>
    </row>
    <row r="2046" spans="1:70" ht="13.2" x14ac:dyDescent="0.25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15"/>
      <c r="AG2046" s="15"/>
      <c r="AH2046" s="15"/>
      <c r="AI2046" s="26"/>
      <c r="BC2046" s="15"/>
      <c r="BR2046" s="15"/>
    </row>
    <row r="2047" spans="1:70" ht="13.2" x14ac:dyDescent="0.25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15"/>
      <c r="AG2047" s="15"/>
      <c r="AH2047" s="15"/>
      <c r="AI2047" s="26"/>
      <c r="BC2047" s="15"/>
      <c r="BR2047" s="15"/>
    </row>
    <row r="2048" spans="1:70" ht="13.2" x14ac:dyDescent="0.25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15"/>
      <c r="AG2048" s="15"/>
      <c r="AH2048" s="15"/>
      <c r="AI2048" s="26"/>
      <c r="BC2048" s="15"/>
      <c r="BR2048" s="15"/>
    </row>
    <row r="2049" spans="1:70" ht="13.2" x14ac:dyDescent="0.25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15"/>
      <c r="AG2049" s="15"/>
      <c r="AH2049" s="15"/>
      <c r="AI2049" s="26"/>
      <c r="BC2049" s="15"/>
      <c r="BR2049" s="15"/>
    </row>
    <row r="2050" spans="1:70" ht="13.2" x14ac:dyDescent="0.25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26"/>
      <c r="BC2050" s="15"/>
      <c r="BR2050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7.88671875" customWidth="1"/>
    <col min="2" max="3" width="23.21875" customWidth="1"/>
    <col min="4" max="4" width="17.44140625" customWidth="1"/>
  </cols>
  <sheetData>
    <row r="1" spans="1:27" x14ac:dyDescent="0.25">
      <c r="A1" s="27" t="s">
        <v>293</v>
      </c>
      <c r="B1" s="28" t="s">
        <v>294</v>
      </c>
      <c r="C1" s="28" t="s">
        <v>84</v>
      </c>
      <c r="D1" s="27" t="s">
        <v>295</v>
      </c>
      <c r="E1" s="27" t="s">
        <v>3</v>
      </c>
      <c r="F1" s="27" t="s">
        <v>296</v>
      </c>
      <c r="G1" s="27" t="s">
        <v>4</v>
      </c>
      <c r="H1" s="27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25">
      <c r="A2" s="30" t="s">
        <v>184</v>
      </c>
      <c r="B2" s="30">
        <v>63.96</v>
      </c>
      <c r="C2" s="30">
        <f t="shared" ref="C2:C23" si="0">RANK(B2,B:B)</f>
        <v>4</v>
      </c>
      <c r="D2" s="30">
        <v>0</v>
      </c>
      <c r="E2" s="30">
        <v>0</v>
      </c>
      <c r="F2" s="30">
        <v>1</v>
      </c>
      <c r="G2" s="30">
        <v>1</v>
      </c>
      <c r="H2" s="15"/>
    </row>
    <row r="3" spans="1:27" x14ac:dyDescent="0.25">
      <c r="A3" s="31" t="s">
        <v>104</v>
      </c>
      <c r="B3" s="30">
        <v>82.8</v>
      </c>
      <c r="C3" s="30">
        <f t="shared" si="0"/>
        <v>1</v>
      </c>
      <c r="D3" s="30">
        <v>1</v>
      </c>
      <c r="E3" s="30">
        <v>1</v>
      </c>
      <c r="F3" s="30">
        <v>0</v>
      </c>
      <c r="G3" s="30">
        <v>0</v>
      </c>
      <c r="H3" s="15"/>
    </row>
    <row r="4" spans="1:27" x14ac:dyDescent="0.25">
      <c r="A4" s="31" t="s">
        <v>110</v>
      </c>
      <c r="B4" s="30">
        <v>73.48</v>
      </c>
      <c r="C4" s="30">
        <f t="shared" si="0"/>
        <v>2</v>
      </c>
      <c r="D4" s="30">
        <v>1</v>
      </c>
      <c r="E4" s="30">
        <v>1</v>
      </c>
      <c r="F4" s="30">
        <v>0</v>
      </c>
      <c r="G4" s="30">
        <v>0</v>
      </c>
      <c r="H4" s="15"/>
    </row>
    <row r="5" spans="1:27" x14ac:dyDescent="0.25">
      <c r="A5" s="31" t="s">
        <v>89</v>
      </c>
      <c r="B5" s="30">
        <v>53.08</v>
      </c>
      <c r="C5" s="30">
        <f t="shared" si="0"/>
        <v>7</v>
      </c>
      <c r="D5" s="30">
        <v>0</v>
      </c>
      <c r="E5" s="30">
        <v>1</v>
      </c>
      <c r="F5" s="30">
        <v>0</v>
      </c>
      <c r="G5" s="30">
        <v>0</v>
      </c>
      <c r="H5" s="15"/>
    </row>
    <row r="6" spans="1:27" x14ac:dyDescent="0.25">
      <c r="A6" s="15" t="s">
        <v>123</v>
      </c>
      <c r="B6" s="15">
        <v>35</v>
      </c>
      <c r="C6" s="15">
        <f t="shared" si="0"/>
        <v>15</v>
      </c>
      <c r="D6" s="15">
        <v>0</v>
      </c>
      <c r="E6" s="15">
        <v>0</v>
      </c>
      <c r="F6" s="15">
        <v>1</v>
      </c>
      <c r="G6" s="15">
        <v>0</v>
      </c>
      <c r="H6" s="15"/>
    </row>
    <row r="7" spans="1:27" x14ac:dyDescent="0.25">
      <c r="A7" s="30" t="s">
        <v>127</v>
      </c>
      <c r="B7" s="30">
        <v>42.13</v>
      </c>
      <c r="C7" s="30">
        <f t="shared" si="0"/>
        <v>13</v>
      </c>
      <c r="D7" s="30">
        <v>0</v>
      </c>
      <c r="E7" s="30">
        <v>0</v>
      </c>
      <c r="F7" s="30">
        <v>1</v>
      </c>
      <c r="G7" s="30">
        <v>0</v>
      </c>
      <c r="H7" s="15"/>
    </row>
    <row r="8" spans="1:27" x14ac:dyDescent="0.25">
      <c r="A8" s="15" t="s">
        <v>172</v>
      </c>
      <c r="B8" s="15">
        <v>26.5</v>
      </c>
      <c r="C8" s="15">
        <f t="shared" si="0"/>
        <v>20</v>
      </c>
      <c r="D8" s="15">
        <v>0</v>
      </c>
      <c r="E8" s="15">
        <v>0</v>
      </c>
      <c r="F8" s="15">
        <v>0</v>
      </c>
      <c r="G8" s="15">
        <v>1</v>
      </c>
      <c r="H8" s="15"/>
    </row>
    <row r="9" spans="1:27" x14ac:dyDescent="0.25">
      <c r="A9" s="15" t="s">
        <v>162</v>
      </c>
      <c r="B9" s="15">
        <v>26.07</v>
      </c>
      <c r="C9" s="15">
        <f t="shared" si="0"/>
        <v>21</v>
      </c>
      <c r="D9" s="15">
        <v>0</v>
      </c>
      <c r="E9" s="15">
        <v>0</v>
      </c>
      <c r="F9" s="15">
        <v>1</v>
      </c>
      <c r="G9" s="15">
        <v>0</v>
      </c>
      <c r="H9" s="15"/>
    </row>
    <row r="10" spans="1:27" x14ac:dyDescent="0.25">
      <c r="A10" s="30" t="s">
        <v>178</v>
      </c>
      <c r="B10" s="30">
        <v>32.21</v>
      </c>
      <c r="C10" s="30">
        <f t="shared" si="0"/>
        <v>19</v>
      </c>
      <c r="D10" s="30">
        <v>0</v>
      </c>
      <c r="E10" s="30">
        <v>0</v>
      </c>
      <c r="F10" s="30">
        <v>1</v>
      </c>
      <c r="G10" s="30">
        <v>1</v>
      </c>
      <c r="H10" s="15"/>
    </row>
    <row r="11" spans="1:27" x14ac:dyDescent="0.25">
      <c r="A11" s="15" t="s">
        <v>157</v>
      </c>
      <c r="B11" s="15">
        <v>34.17</v>
      </c>
      <c r="C11" s="15">
        <f t="shared" si="0"/>
        <v>16</v>
      </c>
      <c r="D11" s="15">
        <v>0</v>
      </c>
      <c r="E11" s="15">
        <v>0</v>
      </c>
      <c r="F11" s="15">
        <v>1</v>
      </c>
      <c r="G11" s="15">
        <v>0</v>
      </c>
      <c r="H11" s="15"/>
    </row>
    <row r="12" spans="1:27" x14ac:dyDescent="0.25">
      <c r="A12" s="30" t="s">
        <v>214</v>
      </c>
      <c r="B12" s="30">
        <v>48.81</v>
      </c>
      <c r="C12" s="30">
        <f t="shared" si="0"/>
        <v>9</v>
      </c>
      <c r="D12" s="30">
        <v>0</v>
      </c>
      <c r="E12" s="30">
        <v>0</v>
      </c>
      <c r="F12" s="30">
        <v>0</v>
      </c>
      <c r="G12" s="30">
        <v>1</v>
      </c>
      <c r="H12" s="15"/>
    </row>
    <row r="13" spans="1:27" x14ac:dyDescent="0.25">
      <c r="A13" s="30" t="s">
        <v>102</v>
      </c>
      <c r="B13" s="30">
        <v>49.05</v>
      </c>
      <c r="C13" s="30">
        <f t="shared" si="0"/>
        <v>8</v>
      </c>
      <c r="D13" s="30">
        <v>0</v>
      </c>
      <c r="E13" s="30">
        <v>0</v>
      </c>
      <c r="F13" s="30">
        <v>1</v>
      </c>
      <c r="G13" s="30">
        <v>0</v>
      </c>
      <c r="H13" s="15"/>
    </row>
    <row r="14" spans="1:27" x14ac:dyDescent="0.25">
      <c r="A14" s="15" t="s">
        <v>95</v>
      </c>
      <c r="B14" s="15">
        <v>44.41</v>
      </c>
      <c r="C14" s="15">
        <f t="shared" si="0"/>
        <v>12</v>
      </c>
      <c r="D14" s="15">
        <v>1</v>
      </c>
      <c r="E14" s="15">
        <v>1</v>
      </c>
      <c r="F14" s="15">
        <v>0</v>
      </c>
      <c r="G14" s="15">
        <v>0</v>
      </c>
      <c r="H14" s="15"/>
    </row>
    <row r="15" spans="1:27" x14ac:dyDescent="0.25">
      <c r="A15" s="15" t="s">
        <v>149</v>
      </c>
      <c r="B15" s="15">
        <v>47.48</v>
      </c>
      <c r="C15" s="15">
        <f t="shared" si="0"/>
        <v>10</v>
      </c>
      <c r="D15" s="15">
        <v>1</v>
      </c>
      <c r="E15" s="15">
        <v>1</v>
      </c>
      <c r="F15" s="15">
        <v>0</v>
      </c>
      <c r="G15" s="15">
        <v>0</v>
      </c>
      <c r="H15" s="15"/>
    </row>
    <row r="16" spans="1:27" x14ac:dyDescent="0.25">
      <c r="A16" s="31" t="s">
        <v>91</v>
      </c>
      <c r="B16" s="30">
        <v>59.3</v>
      </c>
      <c r="C16" s="30">
        <f t="shared" si="0"/>
        <v>6</v>
      </c>
      <c r="D16" s="30">
        <v>0</v>
      </c>
      <c r="E16" s="30">
        <v>1</v>
      </c>
      <c r="F16" s="30">
        <v>0</v>
      </c>
      <c r="G16" s="30">
        <v>0</v>
      </c>
      <c r="H16" s="15"/>
    </row>
    <row r="17" spans="1:8" x14ac:dyDescent="0.25">
      <c r="A17" s="30" t="s">
        <v>85</v>
      </c>
      <c r="B17" s="30">
        <v>63.58</v>
      </c>
      <c r="C17" s="30">
        <f t="shared" si="0"/>
        <v>5</v>
      </c>
      <c r="D17" s="30">
        <v>0</v>
      </c>
      <c r="E17" s="30">
        <v>1</v>
      </c>
      <c r="F17" s="30">
        <v>0</v>
      </c>
      <c r="G17" s="30">
        <v>0</v>
      </c>
      <c r="H17" s="15"/>
    </row>
    <row r="18" spans="1:8" x14ac:dyDescent="0.25">
      <c r="A18" s="15" t="s">
        <v>181</v>
      </c>
      <c r="B18" s="15">
        <v>32.64</v>
      </c>
      <c r="C18" s="15">
        <f t="shared" si="0"/>
        <v>18</v>
      </c>
      <c r="D18" s="15">
        <v>0</v>
      </c>
      <c r="E18" s="15">
        <v>0</v>
      </c>
      <c r="F18" s="15">
        <v>0</v>
      </c>
      <c r="G18" s="15">
        <v>1</v>
      </c>
      <c r="H18" s="15"/>
    </row>
    <row r="19" spans="1:8" x14ac:dyDescent="0.25">
      <c r="A19" s="30" t="s">
        <v>161</v>
      </c>
      <c r="B19" s="30">
        <v>25</v>
      </c>
      <c r="C19" s="30">
        <f t="shared" si="0"/>
        <v>22</v>
      </c>
      <c r="D19" s="30">
        <v>0</v>
      </c>
      <c r="E19" s="30">
        <v>0</v>
      </c>
      <c r="F19" s="30">
        <v>1</v>
      </c>
      <c r="G19" s="30">
        <v>0</v>
      </c>
      <c r="H19" s="15"/>
    </row>
    <row r="20" spans="1:8" x14ac:dyDescent="0.25">
      <c r="A20" s="32" t="s">
        <v>98</v>
      </c>
      <c r="B20" s="15">
        <v>45.45</v>
      </c>
      <c r="C20" s="15">
        <f t="shared" si="0"/>
        <v>11</v>
      </c>
      <c r="D20" s="15">
        <v>0</v>
      </c>
      <c r="E20" s="15">
        <v>1</v>
      </c>
      <c r="F20" s="15">
        <v>0</v>
      </c>
      <c r="G20" s="15">
        <v>0</v>
      </c>
      <c r="H20" s="15"/>
    </row>
    <row r="21" spans="1:8" x14ac:dyDescent="0.25">
      <c r="A21" s="15" t="s">
        <v>183</v>
      </c>
      <c r="B21" s="15">
        <v>36.32</v>
      </c>
      <c r="C21" s="15">
        <f t="shared" si="0"/>
        <v>14</v>
      </c>
      <c r="D21" s="15">
        <v>0</v>
      </c>
      <c r="E21" s="15">
        <v>0</v>
      </c>
      <c r="F21" s="15">
        <v>0</v>
      </c>
      <c r="G21" s="15">
        <v>1</v>
      </c>
      <c r="H21" s="15"/>
    </row>
    <row r="22" spans="1:8" x14ac:dyDescent="0.25">
      <c r="A22" s="15" t="s">
        <v>176</v>
      </c>
      <c r="B22" s="15">
        <v>34</v>
      </c>
      <c r="C22" s="15">
        <f t="shared" si="0"/>
        <v>17</v>
      </c>
      <c r="D22" s="15">
        <v>0</v>
      </c>
      <c r="E22" s="15">
        <v>0</v>
      </c>
      <c r="F22" s="15">
        <v>1</v>
      </c>
      <c r="G22" s="15">
        <v>0</v>
      </c>
      <c r="H22" s="15"/>
    </row>
    <row r="23" spans="1:8" x14ac:dyDescent="0.25">
      <c r="A23" s="15" t="s">
        <v>93</v>
      </c>
      <c r="B23" s="15">
        <v>67.33</v>
      </c>
      <c r="C23" s="15">
        <f t="shared" si="0"/>
        <v>3</v>
      </c>
      <c r="D23" s="15">
        <v>1</v>
      </c>
      <c r="E23" s="15">
        <v>1</v>
      </c>
      <c r="F23" s="15">
        <v>0</v>
      </c>
      <c r="G23" s="15">
        <v>0</v>
      </c>
      <c r="H23" s="15"/>
    </row>
    <row r="24" spans="1:8" x14ac:dyDescent="0.25">
      <c r="H24" s="15"/>
    </row>
    <row r="25" spans="1:8" x14ac:dyDescent="0.25">
      <c r="H25" s="15"/>
    </row>
    <row r="26" spans="1:8" x14ac:dyDescent="0.25">
      <c r="H26" s="15"/>
    </row>
    <row r="27" spans="1:8" x14ac:dyDescent="0.25">
      <c r="H27" s="15"/>
    </row>
    <row r="28" spans="1:8" x14ac:dyDescent="0.25">
      <c r="H28" s="15"/>
    </row>
    <row r="29" spans="1:8" x14ac:dyDescent="0.25">
      <c r="H29" s="15"/>
    </row>
    <row r="30" spans="1:8" x14ac:dyDescent="0.25">
      <c r="H30" s="15"/>
    </row>
    <row r="31" spans="1:8" x14ac:dyDescent="0.25">
      <c r="H31" s="15"/>
    </row>
    <row r="32" spans="1:8" x14ac:dyDescent="0.25">
      <c r="H32" s="15"/>
    </row>
    <row r="33" spans="8:8" x14ac:dyDescent="0.25">
      <c r="H33" s="15"/>
    </row>
    <row r="34" spans="8:8" x14ac:dyDescent="0.25">
      <c r="H34" s="15"/>
    </row>
    <row r="35" spans="8:8" x14ac:dyDescent="0.25">
      <c r="H35" s="15"/>
    </row>
    <row r="36" spans="8:8" x14ac:dyDescent="0.25">
      <c r="H36" s="15"/>
    </row>
    <row r="37" spans="8:8" x14ac:dyDescent="0.25">
      <c r="H37" s="15"/>
    </row>
    <row r="38" spans="8:8" x14ac:dyDescent="0.25">
      <c r="H38" s="15"/>
    </row>
    <row r="39" spans="8:8" x14ac:dyDescent="0.25">
      <c r="H39" s="15"/>
    </row>
    <row r="40" spans="8:8" x14ac:dyDescent="0.25">
      <c r="H40" s="15"/>
    </row>
    <row r="41" spans="8:8" x14ac:dyDescent="0.25">
      <c r="H41" s="15"/>
    </row>
    <row r="42" spans="8:8" x14ac:dyDescent="0.25">
      <c r="H42" s="15"/>
    </row>
    <row r="43" spans="8:8" x14ac:dyDescent="0.25">
      <c r="H43" s="15"/>
    </row>
    <row r="44" spans="8:8" x14ac:dyDescent="0.25">
      <c r="H44" s="15"/>
    </row>
    <row r="45" spans="8:8" x14ac:dyDescent="0.25">
      <c r="H45" s="15"/>
    </row>
    <row r="46" spans="8:8" x14ac:dyDescent="0.25">
      <c r="H46" s="15"/>
    </row>
    <row r="47" spans="8:8" x14ac:dyDescent="0.25">
      <c r="H47" s="15"/>
    </row>
    <row r="48" spans="8:8" x14ac:dyDescent="0.25">
      <c r="H48" s="15"/>
    </row>
    <row r="49" spans="8:8" x14ac:dyDescent="0.25">
      <c r="H49" s="15"/>
    </row>
    <row r="50" spans="8:8" x14ac:dyDescent="0.25">
      <c r="H50" s="15"/>
    </row>
    <row r="51" spans="8:8" x14ac:dyDescent="0.25">
      <c r="H51" s="15"/>
    </row>
    <row r="52" spans="8:8" x14ac:dyDescent="0.25">
      <c r="H52" s="15"/>
    </row>
    <row r="53" spans="8:8" x14ac:dyDescent="0.25">
      <c r="H53" s="15"/>
    </row>
    <row r="54" spans="8:8" x14ac:dyDescent="0.25">
      <c r="H54" s="15"/>
    </row>
    <row r="55" spans="8:8" x14ac:dyDescent="0.25">
      <c r="H55" s="15"/>
    </row>
    <row r="56" spans="8:8" x14ac:dyDescent="0.25">
      <c r="H56" s="15"/>
    </row>
    <row r="57" spans="8:8" x14ac:dyDescent="0.25">
      <c r="H57" s="15"/>
    </row>
    <row r="58" spans="8:8" x14ac:dyDescent="0.25">
      <c r="H58" s="15"/>
    </row>
    <row r="59" spans="8:8" x14ac:dyDescent="0.25">
      <c r="H59" s="15"/>
    </row>
    <row r="60" spans="8:8" x14ac:dyDescent="0.25">
      <c r="H60" s="15"/>
    </row>
    <row r="61" spans="8:8" x14ac:dyDescent="0.25">
      <c r="H61" s="15"/>
    </row>
    <row r="62" spans="8:8" x14ac:dyDescent="0.25">
      <c r="H62" s="15"/>
    </row>
    <row r="63" spans="8:8" x14ac:dyDescent="0.25">
      <c r="H63" s="15"/>
    </row>
    <row r="64" spans="8:8" x14ac:dyDescent="0.25">
      <c r="H64" s="15"/>
    </row>
    <row r="65" spans="8:8" x14ac:dyDescent="0.25">
      <c r="H65" s="15"/>
    </row>
    <row r="66" spans="8:8" x14ac:dyDescent="0.25">
      <c r="H66" s="15"/>
    </row>
    <row r="67" spans="8:8" x14ac:dyDescent="0.25">
      <c r="H67" s="15"/>
    </row>
    <row r="68" spans="8:8" x14ac:dyDescent="0.25">
      <c r="H68" s="15"/>
    </row>
    <row r="69" spans="8:8" x14ac:dyDescent="0.25">
      <c r="H69" s="15"/>
    </row>
    <row r="70" spans="8:8" x14ac:dyDescent="0.25">
      <c r="H70" s="15"/>
    </row>
    <row r="71" spans="8:8" x14ac:dyDescent="0.25">
      <c r="H71" s="15"/>
    </row>
    <row r="72" spans="8:8" x14ac:dyDescent="0.25">
      <c r="H72" s="15"/>
    </row>
    <row r="73" spans="8:8" x14ac:dyDescent="0.25">
      <c r="H73" s="15"/>
    </row>
    <row r="74" spans="8:8" x14ac:dyDescent="0.25">
      <c r="H74" s="15"/>
    </row>
    <row r="75" spans="8:8" x14ac:dyDescent="0.25">
      <c r="H75" s="15"/>
    </row>
    <row r="76" spans="8:8" x14ac:dyDescent="0.25">
      <c r="H76" s="15"/>
    </row>
    <row r="77" spans="8:8" x14ac:dyDescent="0.25">
      <c r="H77" s="15"/>
    </row>
    <row r="78" spans="8:8" x14ac:dyDescent="0.25">
      <c r="H78" s="15"/>
    </row>
    <row r="79" spans="8:8" x14ac:dyDescent="0.25">
      <c r="H79" s="15"/>
    </row>
    <row r="80" spans="8:8" x14ac:dyDescent="0.25">
      <c r="H80" s="15"/>
    </row>
    <row r="81" spans="8:8" x14ac:dyDescent="0.25">
      <c r="H81" s="15"/>
    </row>
    <row r="82" spans="8:8" x14ac:dyDescent="0.25">
      <c r="H82" s="15"/>
    </row>
    <row r="83" spans="8:8" x14ac:dyDescent="0.25">
      <c r="H83" s="15"/>
    </row>
    <row r="84" spans="8:8" x14ac:dyDescent="0.25">
      <c r="H84" s="15"/>
    </row>
    <row r="85" spans="8:8" x14ac:dyDescent="0.25">
      <c r="H85" s="15"/>
    </row>
    <row r="86" spans="8:8" x14ac:dyDescent="0.25">
      <c r="H86" s="15"/>
    </row>
    <row r="87" spans="8:8" x14ac:dyDescent="0.25">
      <c r="H87" s="15"/>
    </row>
    <row r="88" spans="8:8" x14ac:dyDescent="0.25">
      <c r="H88" s="15"/>
    </row>
    <row r="89" spans="8:8" x14ac:dyDescent="0.25">
      <c r="H89" s="15"/>
    </row>
    <row r="90" spans="8:8" x14ac:dyDescent="0.25">
      <c r="H90" s="15"/>
    </row>
    <row r="91" spans="8:8" x14ac:dyDescent="0.25">
      <c r="H91" s="15"/>
    </row>
    <row r="92" spans="8:8" x14ac:dyDescent="0.25">
      <c r="H92" s="15"/>
    </row>
    <row r="93" spans="8:8" x14ac:dyDescent="0.25">
      <c r="H93" s="15"/>
    </row>
    <row r="94" spans="8:8" x14ac:dyDescent="0.25">
      <c r="H94" s="15"/>
    </row>
    <row r="95" spans="8:8" x14ac:dyDescent="0.25">
      <c r="H95" s="15"/>
    </row>
    <row r="96" spans="8:8" x14ac:dyDescent="0.25">
      <c r="H96" s="15"/>
    </row>
    <row r="97" spans="8:8" x14ac:dyDescent="0.25">
      <c r="H97" s="15"/>
    </row>
    <row r="98" spans="8:8" x14ac:dyDescent="0.25">
      <c r="H98" s="15"/>
    </row>
    <row r="99" spans="8:8" x14ac:dyDescent="0.25">
      <c r="H99" s="15"/>
    </row>
    <row r="100" spans="8:8" x14ac:dyDescent="0.25">
      <c r="H100" s="15"/>
    </row>
    <row r="101" spans="8:8" x14ac:dyDescent="0.25">
      <c r="H101" s="15"/>
    </row>
    <row r="102" spans="8:8" x14ac:dyDescent="0.25">
      <c r="H102" s="15"/>
    </row>
    <row r="103" spans="8:8" x14ac:dyDescent="0.25">
      <c r="H103" s="15"/>
    </row>
    <row r="104" spans="8:8" x14ac:dyDescent="0.25">
      <c r="H104" s="15"/>
    </row>
    <row r="105" spans="8:8" x14ac:dyDescent="0.25">
      <c r="H105" s="15"/>
    </row>
    <row r="106" spans="8:8" x14ac:dyDescent="0.25">
      <c r="H106" s="15"/>
    </row>
    <row r="107" spans="8:8" x14ac:dyDescent="0.25">
      <c r="H107" s="15"/>
    </row>
    <row r="108" spans="8:8" x14ac:dyDescent="0.25">
      <c r="H108" s="15"/>
    </row>
    <row r="109" spans="8:8" x14ac:dyDescent="0.25">
      <c r="H109" s="15"/>
    </row>
    <row r="110" spans="8:8" x14ac:dyDescent="0.25">
      <c r="H110" s="15"/>
    </row>
    <row r="111" spans="8:8" x14ac:dyDescent="0.25">
      <c r="H111" s="15"/>
    </row>
    <row r="112" spans="8:8" x14ac:dyDescent="0.25">
      <c r="H112" s="15"/>
    </row>
    <row r="113" spans="8:8" x14ac:dyDescent="0.25">
      <c r="H113" s="15"/>
    </row>
    <row r="114" spans="8:8" x14ac:dyDescent="0.25">
      <c r="H114" s="15"/>
    </row>
    <row r="115" spans="8:8" x14ac:dyDescent="0.25">
      <c r="H115" s="15"/>
    </row>
    <row r="116" spans="8:8" x14ac:dyDescent="0.25">
      <c r="H116" s="15"/>
    </row>
    <row r="117" spans="8:8" x14ac:dyDescent="0.25">
      <c r="H117" s="15"/>
    </row>
    <row r="118" spans="8:8" x14ac:dyDescent="0.25">
      <c r="H118" s="15"/>
    </row>
    <row r="119" spans="8:8" x14ac:dyDescent="0.25">
      <c r="H119" s="15"/>
    </row>
    <row r="120" spans="8:8" x14ac:dyDescent="0.25">
      <c r="H120" s="15"/>
    </row>
    <row r="121" spans="8:8" x14ac:dyDescent="0.25">
      <c r="H121" s="15"/>
    </row>
    <row r="122" spans="8:8" x14ac:dyDescent="0.25">
      <c r="H122" s="15"/>
    </row>
    <row r="123" spans="8:8" x14ac:dyDescent="0.25">
      <c r="H123" s="15"/>
    </row>
    <row r="124" spans="8:8" x14ac:dyDescent="0.25">
      <c r="H124" s="15"/>
    </row>
    <row r="125" spans="8:8" x14ac:dyDescent="0.25">
      <c r="H125" s="15"/>
    </row>
    <row r="126" spans="8:8" x14ac:dyDescent="0.25">
      <c r="H126" s="15"/>
    </row>
    <row r="127" spans="8:8" x14ac:dyDescent="0.25">
      <c r="H127" s="15"/>
    </row>
    <row r="128" spans="8:8" x14ac:dyDescent="0.25">
      <c r="H128" s="15"/>
    </row>
    <row r="129" spans="8:8" x14ac:dyDescent="0.25">
      <c r="H129" s="15"/>
    </row>
    <row r="130" spans="8:8" x14ac:dyDescent="0.25">
      <c r="H130" s="15"/>
    </row>
    <row r="131" spans="8:8" x14ac:dyDescent="0.25">
      <c r="H131" s="15"/>
    </row>
    <row r="132" spans="8:8" x14ac:dyDescent="0.25">
      <c r="H132" s="15"/>
    </row>
    <row r="133" spans="8:8" x14ac:dyDescent="0.25">
      <c r="H133" s="15"/>
    </row>
    <row r="134" spans="8:8" x14ac:dyDescent="0.25">
      <c r="H134" s="15"/>
    </row>
    <row r="135" spans="8:8" x14ac:dyDescent="0.25">
      <c r="H135" s="15"/>
    </row>
    <row r="136" spans="8:8" x14ac:dyDescent="0.25">
      <c r="H136" s="15"/>
    </row>
    <row r="137" spans="8:8" x14ac:dyDescent="0.25">
      <c r="H137" s="15"/>
    </row>
    <row r="138" spans="8:8" x14ac:dyDescent="0.25">
      <c r="H138" s="15"/>
    </row>
    <row r="139" spans="8:8" x14ac:dyDescent="0.25">
      <c r="H139" s="15"/>
    </row>
    <row r="140" spans="8:8" x14ac:dyDescent="0.25">
      <c r="H140" s="15"/>
    </row>
    <row r="141" spans="8:8" x14ac:dyDescent="0.25">
      <c r="H141" s="15"/>
    </row>
    <row r="142" spans="8:8" x14ac:dyDescent="0.25">
      <c r="H142" s="15"/>
    </row>
    <row r="143" spans="8:8" x14ac:dyDescent="0.25">
      <c r="H143" s="15"/>
    </row>
    <row r="144" spans="8:8" x14ac:dyDescent="0.25">
      <c r="H144" s="15"/>
    </row>
    <row r="145" spans="8:8" x14ac:dyDescent="0.25">
      <c r="H145" s="15"/>
    </row>
    <row r="146" spans="8:8" x14ac:dyDescent="0.25">
      <c r="H146" s="15"/>
    </row>
    <row r="147" spans="8:8" x14ac:dyDescent="0.25">
      <c r="H147" s="15"/>
    </row>
    <row r="148" spans="8:8" x14ac:dyDescent="0.25">
      <c r="H148" s="15"/>
    </row>
    <row r="149" spans="8:8" x14ac:dyDescent="0.25">
      <c r="H149" s="15"/>
    </row>
    <row r="150" spans="8:8" x14ac:dyDescent="0.25">
      <c r="H150" s="15"/>
    </row>
    <row r="151" spans="8:8" x14ac:dyDescent="0.25">
      <c r="H151" s="15"/>
    </row>
    <row r="152" spans="8:8" x14ac:dyDescent="0.25">
      <c r="H152" s="15"/>
    </row>
    <row r="153" spans="8:8" x14ac:dyDescent="0.25">
      <c r="H153" s="15"/>
    </row>
    <row r="154" spans="8:8" x14ac:dyDescent="0.25">
      <c r="H154" s="15"/>
    </row>
    <row r="155" spans="8:8" x14ac:dyDescent="0.25">
      <c r="H155" s="15"/>
    </row>
    <row r="156" spans="8:8" x14ac:dyDescent="0.25">
      <c r="H156" s="15"/>
    </row>
    <row r="157" spans="8:8" x14ac:dyDescent="0.25">
      <c r="H157" s="15"/>
    </row>
    <row r="158" spans="8:8" x14ac:dyDescent="0.25">
      <c r="H158" s="15"/>
    </row>
    <row r="159" spans="8:8" x14ac:dyDescent="0.25">
      <c r="H159" s="15"/>
    </row>
    <row r="160" spans="8:8" x14ac:dyDescent="0.25">
      <c r="H160" s="15"/>
    </row>
    <row r="161" spans="8:8" x14ac:dyDescent="0.25">
      <c r="H161" s="15"/>
    </row>
    <row r="162" spans="8:8" x14ac:dyDescent="0.25">
      <c r="H162" s="15"/>
    </row>
    <row r="163" spans="8:8" x14ac:dyDescent="0.25">
      <c r="H163" s="15"/>
    </row>
    <row r="164" spans="8:8" x14ac:dyDescent="0.25">
      <c r="H164" s="15"/>
    </row>
    <row r="165" spans="8:8" x14ac:dyDescent="0.25">
      <c r="H165" s="15"/>
    </row>
    <row r="166" spans="8:8" x14ac:dyDescent="0.25">
      <c r="H166" s="15"/>
    </row>
    <row r="167" spans="8:8" x14ac:dyDescent="0.25">
      <c r="H167" s="15"/>
    </row>
    <row r="168" spans="8:8" x14ac:dyDescent="0.25">
      <c r="H168" s="15"/>
    </row>
    <row r="169" spans="8:8" x14ac:dyDescent="0.25">
      <c r="H169" s="15"/>
    </row>
    <row r="170" spans="8:8" x14ac:dyDescent="0.25">
      <c r="H170" s="15"/>
    </row>
    <row r="171" spans="8:8" x14ac:dyDescent="0.25">
      <c r="H171" s="15"/>
    </row>
    <row r="172" spans="8:8" x14ac:dyDescent="0.25">
      <c r="H172" s="15"/>
    </row>
    <row r="173" spans="8:8" x14ac:dyDescent="0.25">
      <c r="H173" s="15"/>
    </row>
    <row r="174" spans="8:8" x14ac:dyDescent="0.25">
      <c r="H174" s="15"/>
    </row>
    <row r="175" spans="8:8" x14ac:dyDescent="0.25">
      <c r="H175" s="15"/>
    </row>
    <row r="176" spans="8:8" x14ac:dyDescent="0.25">
      <c r="H176" s="15"/>
    </row>
    <row r="177" spans="8:8" x14ac:dyDescent="0.25">
      <c r="H177" s="15"/>
    </row>
    <row r="178" spans="8:8" x14ac:dyDescent="0.25">
      <c r="H178" s="15"/>
    </row>
    <row r="179" spans="8:8" x14ac:dyDescent="0.25">
      <c r="H179" s="15"/>
    </row>
    <row r="180" spans="8:8" x14ac:dyDescent="0.25">
      <c r="H180" s="15"/>
    </row>
    <row r="181" spans="8:8" x14ac:dyDescent="0.25">
      <c r="H181" s="15"/>
    </row>
    <row r="182" spans="8:8" x14ac:dyDescent="0.25">
      <c r="H182" s="15"/>
    </row>
    <row r="183" spans="8:8" x14ac:dyDescent="0.25">
      <c r="H183" s="15"/>
    </row>
    <row r="184" spans="8:8" x14ac:dyDescent="0.25">
      <c r="H184" s="15"/>
    </row>
    <row r="185" spans="8:8" x14ac:dyDescent="0.25">
      <c r="H185" s="15"/>
    </row>
    <row r="186" spans="8:8" x14ac:dyDescent="0.25">
      <c r="H186" s="15"/>
    </row>
    <row r="187" spans="8:8" x14ac:dyDescent="0.25">
      <c r="H187" s="15"/>
    </row>
    <row r="188" spans="8:8" x14ac:dyDescent="0.25">
      <c r="H188" s="15"/>
    </row>
    <row r="189" spans="8:8" x14ac:dyDescent="0.25">
      <c r="H189" s="15"/>
    </row>
    <row r="190" spans="8:8" x14ac:dyDescent="0.25">
      <c r="H190" s="15"/>
    </row>
    <row r="191" spans="8:8" x14ac:dyDescent="0.25">
      <c r="H191" s="15"/>
    </row>
    <row r="192" spans="8:8" x14ac:dyDescent="0.25">
      <c r="H192" s="15"/>
    </row>
    <row r="193" spans="8:8" x14ac:dyDescent="0.25">
      <c r="H193" s="15"/>
    </row>
    <row r="194" spans="8:8" x14ac:dyDescent="0.25">
      <c r="H194" s="15"/>
    </row>
    <row r="195" spans="8:8" x14ac:dyDescent="0.25">
      <c r="H195" s="15"/>
    </row>
    <row r="196" spans="8:8" x14ac:dyDescent="0.25">
      <c r="H196" s="15"/>
    </row>
    <row r="197" spans="8:8" x14ac:dyDescent="0.25">
      <c r="H197" s="15"/>
    </row>
    <row r="198" spans="8:8" x14ac:dyDescent="0.25">
      <c r="H198" s="15"/>
    </row>
    <row r="199" spans="8:8" x14ac:dyDescent="0.25">
      <c r="H199" s="15"/>
    </row>
    <row r="200" spans="8:8" x14ac:dyDescent="0.25">
      <c r="H200" s="15"/>
    </row>
    <row r="201" spans="8:8" x14ac:dyDescent="0.25">
      <c r="H201" s="15"/>
    </row>
    <row r="202" spans="8:8" x14ac:dyDescent="0.25">
      <c r="H202" s="15"/>
    </row>
    <row r="203" spans="8:8" x14ac:dyDescent="0.25">
      <c r="H203" s="15"/>
    </row>
    <row r="204" spans="8:8" x14ac:dyDescent="0.25">
      <c r="H204" s="15"/>
    </row>
    <row r="205" spans="8:8" x14ac:dyDescent="0.25">
      <c r="H205" s="15"/>
    </row>
    <row r="206" spans="8:8" x14ac:dyDescent="0.25">
      <c r="H206" s="15"/>
    </row>
    <row r="207" spans="8:8" x14ac:dyDescent="0.25">
      <c r="H207" s="15"/>
    </row>
    <row r="208" spans="8:8" x14ac:dyDescent="0.25">
      <c r="H208" s="15"/>
    </row>
    <row r="209" spans="8:8" x14ac:dyDescent="0.25">
      <c r="H209" s="15"/>
    </row>
    <row r="210" spans="8:8" x14ac:dyDescent="0.25">
      <c r="H210" s="15"/>
    </row>
    <row r="211" spans="8:8" x14ac:dyDescent="0.25">
      <c r="H211" s="15"/>
    </row>
    <row r="212" spans="8:8" x14ac:dyDescent="0.25">
      <c r="H212" s="15"/>
    </row>
    <row r="213" spans="8:8" x14ac:dyDescent="0.25">
      <c r="H213" s="15"/>
    </row>
    <row r="214" spans="8:8" x14ac:dyDescent="0.25">
      <c r="H214" s="15"/>
    </row>
    <row r="215" spans="8:8" x14ac:dyDescent="0.25">
      <c r="H215" s="15"/>
    </row>
    <row r="216" spans="8:8" x14ac:dyDescent="0.25">
      <c r="H216" s="15"/>
    </row>
    <row r="217" spans="8:8" x14ac:dyDescent="0.25">
      <c r="H217" s="15"/>
    </row>
    <row r="218" spans="8:8" x14ac:dyDescent="0.25">
      <c r="H218" s="15"/>
    </row>
    <row r="219" spans="8:8" x14ac:dyDescent="0.25">
      <c r="H219" s="15"/>
    </row>
    <row r="220" spans="8:8" x14ac:dyDescent="0.25">
      <c r="H220" s="15"/>
    </row>
    <row r="221" spans="8:8" x14ac:dyDescent="0.25">
      <c r="H221" s="15"/>
    </row>
    <row r="222" spans="8:8" x14ac:dyDescent="0.25">
      <c r="H222" s="15"/>
    </row>
    <row r="223" spans="8:8" x14ac:dyDescent="0.25">
      <c r="H223" s="15"/>
    </row>
    <row r="224" spans="8:8" x14ac:dyDescent="0.25">
      <c r="H224" s="15"/>
    </row>
    <row r="225" spans="8:8" x14ac:dyDescent="0.25">
      <c r="H225" s="15"/>
    </row>
    <row r="226" spans="8:8" x14ac:dyDescent="0.25">
      <c r="H226" s="15"/>
    </row>
    <row r="227" spans="8:8" x14ac:dyDescent="0.25">
      <c r="H227" s="15"/>
    </row>
    <row r="228" spans="8:8" x14ac:dyDescent="0.25">
      <c r="H228" s="15"/>
    </row>
    <row r="229" spans="8:8" x14ac:dyDescent="0.25">
      <c r="H229" s="15"/>
    </row>
    <row r="230" spans="8:8" x14ac:dyDescent="0.25">
      <c r="H230" s="15"/>
    </row>
    <row r="231" spans="8:8" x14ac:dyDescent="0.25">
      <c r="H231" s="15"/>
    </row>
    <row r="232" spans="8:8" x14ac:dyDescent="0.25">
      <c r="H232" s="15"/>
    </row>
    <row r="233" spans="8:8" x14ac:dyDescent="0.25">
      <c r="H233" s="15"/>
    </row>
    <row r="234" spans="8:8" x14ac:dyDescent="0.25">
      <c r="H234" s="15"/>
    </row>
    <row r="235" spans="8:8" x14ac:dyDescent="0.25">
      <c r="H235" s="15"/>
    </row>
    <row r="236" spans="8:8" x14ac:dyDescent="0.25">
      <c r="H236" s="15"/>
    </row>
    <row r="237" spans="8:8" x14ac:dyDescent="0.25">
      <c r="H237" s="15"/>
    </row>
    <row r="238" spans="8:8" x14ac:dyDescent="0.25">
      <c r="H238" s="15"/>
    </row>
    <row r="239" spans="8:8" x14ac:dyDescent="0.25">
      <c r="H239" s="15"/>
    </row>
    <row r="240" spans="8:8" x14ac:dyDescent="0.25">
      <c r="H240" s="15"/>
    </row>
    <row r="241" spans="8:8" x14ac:dyDescent="0.25">
      <c r="H241" s="15"/>
    </row>
    <row r="242" spans="8:8" x14ac:dyDescent="0.25">
      <c r="H242" s="15"/>
    </row>
    <row r="243" spans="8:8" x14ac:dyDescent="0.25">
      <c r="H243" s="15"/>
    </row>
    <row r="244" spans="8:8" x14ac:dyDescent="0.25">
      <c r="H244" s="15"/>
    </row>
    <row r="245" spans="8:8" x14ac:dyDescent="0.25">
      <c r="H245" s="15"/>
    </row>
    <row r="246" spans="8:8" x14ac:dyDescent="0.25">
      <c r="H246" s="15"/>
    </row>
    <row r="247" spans="8:8" x14ac:dyDescent="0.25">
      <c r="H247" s="15"/>
    </row>
    <row r="248" spans="8:8" x14ac:dyDescent="0.25">
      <c r="H248" s="15"/>
    </row>
    <row r="249" spans="8:8" x14ac:dyDescent="0.25">
      <c r="H249" s="15"/>
    </row>
    <row r="250" spans="8:8" x14ac:dyDescent="0.25">
      <c r="H250" s="15"/>
    </row>
    <row r="251" spans="8:8" x14ac:dyDescent="0.25">
      <c r="H251" s="15"/>
    </row>
    <row r="252" spans="8:8" x14ac:dyDescent="0.25">
      <c r="H252" s="15"/>
    </row>
    <row r="253" spans="8:8" x14ac:dyDescent="0.25">
      <c r="H253" s="15"/>
    </row>
    <row r="254" spans="8:8" x14ac:dyDescent="0.25">
      <c r="H254" s="15"/>
    </row>
    <row r="255" spans="8:8" x14ac:dyDescent="0.25">
      <c r="H255" s="15"/>
    </row>
    <row r="256" spans="8:8" x14ac:dyDescent="0.25">
      <c r="H256" s="15"/>
    </row>
    <row r="257" spans="8:8" x14ac:dyDescent="0.25">
      <c r="H257" s="15"/>
    </row>
    <row r="258" spans="8:8" x14ac:dyDescent="0.25">
      <c r="H258" s="15"/>
    </row>
    <row r="259" spans="8:8" x14ac:dyDescent="0.25">
      <c r="H259" s="15"/>
    </row>
    <row r="260" spans="8:8" x14ac:dyDescent="0.25">
      <c r="H260" s="15"/>
    </row>
    <row r="261" spans="8:8" x14ac:dyDescent="0.25">
      <c r="H261" s="15"/>
    </row>
    <row r="262" spans="8:8" x14ac:dyDescent="0.25">
      <c r="H262" s="15"/>
    </row>
    <row r="263" spans="8:8" x14ac:dyDescent="0.25">
      <c r="H263" s="15"/>
    </row>
    <row r="264" spans="8:8" x14ac:dyDescent="0.25">
      <c r="H264" s="15"/>
    </row>
    <row r="265" spans="8:8" x14ac:dyDescent="0.25">
      <c r="H265" s="15"/>
    </row>
    <row r="266" spans="8:8" x14ac:dyDescent="0.25">
      <c r="H266" s="15"/>
    </row>
    <row r="267" spans="8:8" x14ac:dyDescent="0.25">
      <c r="H267" s="15"/>
    </row>
    <row r="268" spans="8:8" x14ac:dyDescent="0.25">
      <c r="H268" s="15"/>
    </row>
    <row r="269" spans="8:8" x14ac:dyDescent="0.25">
      <c r="H269" s="15"/>
    </row>
    <row r="270" spans="8:8" x14ac:dyDescent="0.25">
      <c r="H270" s="15"/>
    </row>
    <row r="271" spans="8:8" x14ac:dyDescent="0.25">
      <c r="H271" s="15"/>
    </row>
    <row r="272" spans="8:8" x14ac:dyDescent="0.25">
      <c r="H272" s="15"/>
    </row>
    <row r="273" spans="8:8" x14ac:dyDescent="0.25">
      <c r="H273" s="15"/>
    </row>
    <row r="274" spans="8:8" x14ac:dyDescent="0.25">
      <c r="H274" s="15"/>
    </row>
    <row r="275" spans="8:8" x14ac:dyDescent="0.25">
      <c r="H275" s="15"/>
    </row>
    <row r="276" spans="8:8" x14ac:dyDescent="0.25">
      <c r="H276" s="15"/>
    </row>
    <row r="277" spans="8:8" x14ac:dyDescent="0.25">
      <c r="H277" s="15"/>
    </row>
    <row r="278" spans="8:8" x14ac:dyDescent="0.25">
      <c r="H278" s="15"/>
    </row>
    <row r="279" spans="8:8" x14ac:dyDescent="0.25">
      <c r="H279" s="15"/>
    </row>
    <row r="280" spans="8:8" x14ac:dyDescent="0.25">
      <c r="H280" s="15"/>
    </row>
    <row r="281" spans="8:8" x14ac:dyDescent="0.25">
      <c r="H281" s="15"/>
    </row>
    <row r="282" spans="8:8" x14ac:dyDescent="0.25">
      <c r="H282" s="15"/>
    </row>
    <row r="283" spans="8:8" x14ac:dyDescent="0.25">
      <c r="H283" s="15"/>
    </row>
    <row r="284" spans="8:8" x14ac:dyDescent="0.25">
      <c r="H284" s="15"/>
    </row>
    <row r="285" spans="8:8" x14ac:dyDescent="0.25">
      <c r="H285" s="15"/>
    </row>
    <row r="286" spans="8:8" x14ac:dyDescent="0.25">
      <c r="H286" s="15"/>
    </row>
    <row r="287" spans="8:8" x14ac:dyDescent="0.25">
      <c r="H287" s="15"/>
    </row>
    <row r="288" spans="8:8" x14ac:dyDescent="0.25">
      <c r="H288" s="15"/>
    </row>
    <row r="289" spans="8:8" x14ac:dyDescent="0.25">
      <c r="H289" s="15"/>
    </row>
    <row r="290" spans="8:8" x14ac:dyDescent="0.25">
      <c r="H290" s="15"/>
    </row>
    <row r="291" spans="8:8" x14ac:dyDescent="0.25">
      <c r="H291" s="15"/>
    </row>
    <row r="292" spans="8:8" x14ac:dyDescent="0.25">
      <c r="H292" s="15"/>
    </row>
    <row r="293" spans="8:8" x14ac:dyDescent="0.25">
      <c r="H293" s="15"/>
    </row>
    <row r="294" spans="8:8" x14ac:dyDescent="0.25">
      <c r="H294" s="15"/>
    </row>
    <row r="295" spans="8:8" x14ac:dyDescent="0.25">
      <c r="H295" s="15"/>
    </row>
    <row r="296" spans="8:8" x14ac:dyDescent="0.25">
      <c r="H296" s="15"/>
    </row>
    <row r="297" spans="8:8" x14ac:dyDescent="0.25">
      <c r="H297" s="15"/>
    </row>
    <row r="298" spans="8:8" x14ac:dyDescent="0.25">
      <c r="H298" s="15"/>
    </row>
    <row r="299" spans="8:8" x14ac:dyDescent="0.25">
      <c r="H299" s="15"/>
    </row>
    <row r="300" spans="8:8" x14ac:dyDescent="0.25">
      <c r="H300" s="15"/>
    </row>
    <row r="301" spans="8:8" x14ac:dyDescent="0.25">
      <c r="H301" s="15"/>
    </row>
    <row r="302" spans="8:8" x14ac:dyDescent="0.25">
      <c r="H302" s="15"/>
    </row>
    <row r="303" spans="8:8" x14ac:dyDescent="0.25">
      <c r="H303" s="15"/>
    </row>
    <row r="304" spans="8:8" x14ac:dyDescent="0.25">
      <c r="H304" s="15"/>
    </row>
    <row r="305" spans="8:8" x14ac:dyDescent="0.25">
      <c r="H305" s="15"/>
    </row>
    <row r="306" spans="8:8" x14ac:dyDescent="0.25">
      <c r="H306" s="15"/>
    </row>
    <row r="307" spans="8:8" x14ac:dyDescent="0.25">
      <c r="H307" s="15"/>
    </row>
    <row r="308" spans="8:8" x14ac:dyDescent="0.25">
      <c r="H308" s="15"/>
    </row>
    <row r="309" spans="8:8" x14ac:dyDescent="0.25">
      <c r="H309" s="15"/>
    </row>
    <row r="310" spans="8:8" x14ac:dyDescent="0.25">
      <c r="H310" s="15"/>
    </row>
    <row r="311" spans="8:8" x14ac:dyDescent="0.25">
      <c r="H311" s="15"/>
    </row>
    <row r="312" spans="8:8" x14ac:dyDescent="0.25">
      <c r="H312" s="15"/>
    </row>
    <row r="313" spans="8:8" x14ac:dyDescent="0.25">
      <c r="H313" s="15"/>
    </row>
    <row r="314" spans="8:8" x14ac:dyDescent="0.25">
      <c r="H314" s="15"/>
    </row>
    <row r="315" spans="8:8" x14ac:dyDescent="0.25">
      <c r="H315" s="15"/>
    </row>
    <row r="316" spans="8:8" x14ac:dyDescent="0.25">
      <c r="H316" s="15"/>
    </row>
    <row r="317" spans="8:8" x14ac:dyDescent="0.25">
      <c r="H317" s="15"/>
    </row>
    <row r="318" spans="8:8" x14ac:dyDescent="0.25">
      <c r="H318" s="15"/>
    </row>
    <row r="319" spans="8:8" x14ac:dyDescent="0.25">
      <c r="H319" s="15"/>
    </row>
    <row r="320" spans="8:8" x14ac:dyDescent="0.25">
      <c r="H320" s="15"/>
    </row>
    <row r="321" spans="8:8" x14ac:dyDescent="0.25">
      <c r="H321" s="15"/>
    </row>
    <row r="322" spans="8:8" x14ac:dyDescent="0.25">
      <c r="H322" s="15"/>
    </row>
    <row r="323" spans="8:8" x14ac:dyDescent="0.25">
      <c r="H323" s="15"/>
    </row>
    <row r="324" spans="8:8" x14ac:dyDescent="0.25">
      <c r="H324" s="15"/>
    </row>
    <row r="325" spans="8:8" x14ac:dyDescent="0.25">
      <c r="H325" s="15"/>
    </row>
    <row r="326" spans="8:8" x14ac:dyDescent="0.25">
      <c r="H326" s="15"/>
    </row>
    <row r="327" spans="8:8" x14ac:dyDescent="0.25">
      <c r="H327" s="15"/>
    </row>
    <row r="328" spans="8:8" x14ac:dyDescent="0.25">
      <c r="H328" s="15"/>
    </row>
    <row r="329" spans="8:8" x14ac:dyDescent="0.25">
      <c r="H329" s="15"/>
    </row>
    <row r="330" spans="8:8" x14ac:dyDescent="0.25">
      <c r="H330" s="15"/>
    </row>
    <row r="331" spans="8:8" x14ac:dyDescent="0.25">
      <c r="H331" s="15"/>
    </row>
    <row r="332" spans="8:8" x14ac:dyDescent="0.25">
      <c r="H332" s="15"/>
    </row>
    <row r="333" spans="8:8" x14ac:dyDescent="0.25">
      <c r="H333" s="15"/>
    </row>
    <row r="334" spans="8:8" x14ac:dyDescent="0.25">
      <c r="H334" s="15"/>
    </row>
    <row r="335" spans="8:8" x14ac:dyDescent="0.25">
      <c r="H335" s="15"/>
    </row>
    <row r="336" spans="8:8" x14ac:dyDescent="0.25">
      <c r="H336" s="15"/>
    </row>
    <row r="337" spans="8:8" x14ac:dyDescent="0.25">
      <c r="H337" s="15"/>
    </row>
    <row r="338" spans="8:8" x14ac:dyDescent="0.25">
      <c r="H338" s="15"/>
    </row>
    <row r="339" spans="8:8" x14ac:dyDescent="0.25">
      <c r="H339" s="15"/>
    </row>
    <row r="340" spans="8:8" x14ac:dyDescent="0.25">
      <c r="H340" s="15"/>
    </row>
    <row r="341" spans="8:8" x14ac:dyDescent="0.25">
      <c r="H341" s="15"/>
    </row>
    <row r="342" spans="8:8" x14ac:dyDescent="0.25">
      <c r="H342" s="15"/>
    </row>
    <row r="343" spans="8:8" x14ac:dyDescent="0.25">
      <c r="H343" s="15"/>
    </row>
    <row r="344" spans="8:8" x14ac:dyDescent="0.25">
      <c r="H344" s="15"/>
    </row>
    <row r="345" spans="8:8" x14ac:dyDescent="0.25">
      <c r="H345" s="15"/>
    </row>
    <row r="346" spans="8:8" x14ac:dyDescent="0.25">
      <c r="H346" s="15"/>
    </row>
    <row r="347" spans="8:8" x14ac:dyDescent="0.25">
      <c r="H347" s="15"/>
    </row>
    <row r="348" spans="8:8" x14ac:dyDescent="0.25">
      <c r="H348" s="15"/>
    </row>
    <row r="349" spans="8:8" x14ac:dyDescent="0.25">
      <c r="H349" s="15"/>
    </row>
    <row r="350" spans="8:8" x14ac:dyDescent="0.25">
      <c r="H350" s="15"/>
    </row>
    <row r="351" spans="8:8" x14ac:dyDescent="0.25">
      <c r="H351" s="15"/>
    </row>
    <row r="352" spans="8:8" x14ac:dyDescent="0.25">
      <c r="H352" s="15"/>
    </row>
    <row r="353" spans="8:8" x14ac:dyDescent="0.25">
      <c r="H353" s="15"/>
    </row>
    <row r="354" spans="8:8" x14ac:dyDescent="0.25">
      <c r="H354" s="15"/>
    </row>
    <row r="355" spans="8:8" x14ac:dyDescent="0.25">
      <c r="H355" s="15"/>
    </row>
    <row r="356" spans="8:8" x14ac:dyDescent="0.25">
      <c r="H356" s="15"/>
    </row>
    <row r="357" spans="8:8" x14ac:dyDescent="0.25">
      <c r="H357" s="15"/>
    </row>
    <row r="358" spans="8:8" x14ac:dyDescent="0.25">
      <c r="H358" s="15"/>
    </row>
    <row r="359" spans="8:8" x14ac:dyDescent="0.25">
      <c r="H359" s="15"/>
    </row>
    <row r="360" spans="8:8" x14ac:dyDescent="0.25">
      <c r="H360" s="15"/>
    </row>
    <row r="361" spans="8:8" x14ac:dyDescent="0.25">
      <c r="H361" s="15"/>
    </row>
    <row r="362" spans="8:8" x14ac:dyDescent="0.25">
      <c r="H362" s="15"/>
    </row>
    <row r="363" spans="8:8" x14ac:dyDescent="0.25">
      <c r="H363" s="15"/>
    </row>
    <row r="364" spans="8:8" x14ac:dyDescent="0.25">
      <c r="H364" s="15"/>
    </row>
    <row r="365" spans="8:8" x14ac:dyDescent="0.25">
      <c r="H365" s="15"/>
    </row>
    <row r="366" spans="8:8" x14ac:dyDescent="0.25">
      <c r="H366" s="15"/>
    </row>
    <row r="367" spans="8:8" x14ac:dyDescent="0.25">
      <c r="H367" s="15"/>
    </row>
    <row r="368" spans="8:8" x14ac:dyDescent="0.25">
      <c r="H368" s="15"/>
    </row>
    <row r="369" spans="8:8" x14ac:dyDescent="0.25">
      <c r="H369" s="15"/>
    </row>
    <row r="370" spans="8:8" x14ac:dyDescent="0.25">
      <c r="H370" s="15"/>
    </row>
    <row r="371" spans="8:8" x14ac:dyDescent="0.25">
      <c r="H371" s="15"/>
    </row>
    <row r="372" spans="8:8" x14ac:dyDescent="0.25">
      <c r="H372" s="15"/>
    </row>
    <row r="373" spans="8:8" x14ac:dyDescent="0.25">
      <c r="H373" s="15"/>
    </row>
    <row r="374" spans="8:8" x14ac:dyDescent="0.25">
      <c r="H374" s="15"/>
    </row>
    <row r="375" spans="8:8" x14ac:dyDescent="0.25">
      <c r="H375" s="15"/>
    </row>
    <row r="376" spans="8:8" x14ac:dyDescent="0.25">
      <c r="H376" s="15"/>
    </row>
    <row r="377" spans="8:8" x14ac:dyDescent="0.25">
      <c r="H377" s="15"/>
    </row>
    <row r="378" spans="8:8" x14ac:dyDescent="0.25">
      <c r="H378" s="15"/>
    </row>
    <row r="379" spans="8:8" x14ac:dyDescent="0.25">
      <c r="H379" s="15"/>
    </row>
    <row r="380" spans="8:8" x14ac:dyDescent="0.25">
      <c r="H380" s="15"/>
    </row>
    <row r="381" spans="8:8" x14ac:dyDescent="0.25">
      <c r="H381" s="15"/>
    </row>
    <row r="382" spans="8:8" x14ac:dyDescent="0.25">
      <c r="H382" s="15"/>
    </row>
    <row r="383" spans="8:8" x14ac:dyDescent="0.25">
      <c r="H383" s="15"/>
    </row>
    <row r="384" spans="8:8" x14ac:dyDescent="0.25">
      <c r="H384" s="15"/>
    </row>
    <row r="385" spans="8:8" x14ac:dyDescent="0.25">
      <c r="H385" s="15"/>
    </row>
    <row r="386" spans="8:8" x14ac:dyDescent="0.25">
      <c r="H386" s="15"/>
    </row>
    <row r="387" spans="8:8" x14ac:dyDescent="0.25">
      <c r="H387" s="15"/>
    </row>
    <row r="388" spans="8:8" x14ac:dyDescent="0.25">
      <c r="H388" s="15"/>
    </row>
    <row r="389" spans="8:8" x14ac:dyDescent="0.25">
      <c r="H389" s="15"/>
    </row>
    <row r="390" spans="8:8" x14ac:dyDescent="0.25">
      <c r="H390" s="15"/>
    </row>
    <row r="391" spans="8:8" x14ac:dyDescent="0.25">
      <c r="H391" s="15"/>
    </row>
    <row r="392" spans="8:8" x14ac:dyDescent="0.25">
      <c r="H392" s="15"/>
    </row>
    <row r="393" spans="8:8" x14ac:dyDescent="0.25">
      <c r="H393" s="15"/>
    </row>
    <row r="394" spans="8:8" x14ac:dyDescent="0.25">
      <c r="H394" s="15"/>
    </row>
    <row r="395" spans="8:8" x14ac:dyDescent="0.25">
      <c r="H395" s="15"/>
    </row>
    <row r="396" spans="8:8" x14ac:dyDescent="0.25">
      <c r="H396" s="15"/>
    </row>
    <row r="397" spans="8:8" x14ac:dyDescent="0.25">
      <c r="H397" s="15"/>
    </row>
    <row r="398" spans="8:8" x14ac:dyDescent="0.25">
      <c r="H398" s="15"/>
    </row>
    <row r="399" spans="8:8" x14ac:dyDescent="0.25">
      <c r="H399" s="15"/>
    </row>
    <row r="400" spans="8:8" x14ac:dyDescent="0.25">
      <c r="H400" s="15"/>
    </row>
    <row r="401" spans="8:8" x14ac:dyDescent="0.25">
      <c r="H401" s="15"/>
    </row>
    <row r="402" spans="8:8" x14ac:dyDescent="0.25">
      <c r="H402" s="15"/>
    </row>
    <row r="403" spans="8:8" x14ac:dyDescent="0.25">
      <c r="H403" s="15"/>
    </row>
    <row r="404" spans="8:8" x14ac:dyDescent="0.25">
      <c r="H404" s="15"/>
    </row>
    <row r="405" spans="8:8" x14ac:dyDescent="0.25">
      <c r="H405" s="15"/>
    </row>
    <row r="406" spans="8:8" x14ac:dyDescent="0.25">
      <c r="H406" s="15"/>
    </row>
    <row r="407" spans="8:8" x14ac:dyDescent="0.25">
      <c r="H407" s="15"/>
    </row>
    <row r="408" spans="8:8" x14ac:dyDescent="0.25">
      <c r="H408" s="15"/>
    </row>
    <row r="409" spans="8:8" x14ac:dyDescent="0.25">
      <c r="H409" s="15"/>
    </row>
    <row r="410" spans="8:8" x14ac:dyDescent="0.25">
      <c r="H410" s="15"/>
    </row>
    <row r="411" spans="8:8" x14ac:dyDescent="0.25">
      <c r="H411" s="15"/>
    </row>
    <row r="412" spans="8:8" x14ac:dyDescent="0.25">
      <c r="H412" s="15"/>
    </row>
    <row r="413" spans="8:8" x14ac:dyDescent="0.25">
      <c r="H413" s="15"/>
    </row>
    <row r="414" spans="8:8" x14ac:dyDescent="0.25">
      <c r="H414" s="15"/>
    </row>
    <row r="415" spans="8:8" x14ac:dyDescent="0.25">
      <c r="H415" s="15"/>
    </row>
    <row r="416" spans="8:8" x14ac:dyDescent="0.25">
      <c r="H416" s="15"/>
    </row>
    <row r="417" spans="8:8" x14ac:dyDescent="0.25">
      <c r="H417" s="15"/>
    </row>
    <row r="418" spans="8:8" x14ac:dyDescent="0.25">
      <c r="H418" s="15"/>
    </row>
    <row r="419" spans="8:8" x14ac:dyDescent="0.25">
      <c r="H419" s="15"/>
    </row>
    <row r="420" spans="8:8" x14ac:dyDescent="0.25">
      <c r="H420" s="15"/>
    </row>
    <row r="421" spans="8:8" x14ac:dyDescent="0.25">
      <c r="H421" s="15"/>
    </row>
    <row r="422" spans="8:8" x14ac:dyDescent="0.25">
      <c r="H422" s="15"/>
    </row>
    <row r="423" spans="8:8" x14ac:dyDescent="0.25">
      <c r="H423" s="15"/>
    </row>
    <row r="424" spans="8:8" x14ac:dyDescent="0.25">
      <c r="H424" s="15"/>
    </row>
    <row r="425" spans="8:8" x14ac:dyDescent="0.25">
      <c r="H425" s="15"/>
    </row>
    <row r="426" spans="8:8" x14ac:dyDescent="0.25">
      <c r="H426" s="15"/>
    </row>
    <row r="427" spans="8:8" x14ac:dyDescent="0.25">
      <c r="H427" s="15"/>
    </row>
    <row r="428" spans="8:8" x14ac:dyDescent="0.25">
      <c r="H428" s="15"/>
    </row>
    <row r="429" spans="8:8" x14ac:dyDescent="0.25">
      <c r="H429" s="15"/>
    </row>
    <row r="430" spans="8:8" x14ac:dyDescent="0.25">
      <c r="H430" s="15"/>
    </row>
    <row r="431" spans="8:8" x14ac:dyDescent="0.25">
      <c r="H431" s="15"/>
    </row>
    <row r="432" spans="8:8" x14ac:dyDescent="0.25">
      <c r="H432" s="15"/>
    </row>
    <row r="433" spans="8:8" x14ac:dyDescent="0.25">
      <c r="H433" s="15"/>
    </row>
    <row r="434" spans="8:8" x14ac:dyDescent="0.25">
      <c r="H434" s="15"/>
    </row>
    <row r="435" spans="8:8" x14ac:dyDescent="0.25">
      <c r="H435" s="15"/>
    </row>
    <row r="436" spans="8:8" x14ac:dyDescent="0.25">
      <c r="H436" s="15"/>
    </row>
    <row r="437" spans="8:8" x14ac:dyDescent="0.25">
      <c r="H437" s="15"/>
    </row>
    <row r="438" spans="8:8" x14ac:dyDescent="0.25">
      <c r="H438" s="15"/>
    </row>
    <row r="439" spans="8:8" x14ac:dyDescent="0.25">
      <c r="H439" s="15"/>
    </row>
    <row r="440" spans="8:8" x14ac:dyDescent="0.25">
      <c r="H440" s="15"/>
    </row>
    <row r="441" spans="8:8" x14ac:dyDescent="0.25">
      <c r="H441" s="15"/>
    </row>
    <row r="442" spans="8:8" x14ac:dyDescent="0.25">
      <c r="H442" s="15"/>
    </row>
    <row r="443" spans="8:8" x14ac:dyDescent="0.25">
      <c r="H443" s="15"/>
    </row>
    <row r="444" spans="8:8" x14ac:dyDescent="0.25">
      <c r="H444" s="15"/>
    </row>
    <row r="445" spans="8:8" x14ac:dyDescent="0.25">
      <c r="H445" s="15"/>
    </row>
    <row r="446" spans="8:8" x14ac:dyDescent="0.25">
      <c r="H446" s="15"/>
    </row>
    <row r="447" spans="8:8" x14ac:dyDescent="0.25">
      <c r="H447" s="15"/>
    </row>
    <row r="448" spans="8:8" x14ac:dyDescent="0.25">
      <c r="H448" s="15"/>
    </row>
    <row r="449" spans="8:8" x14ac:dyDescent="0.25">
      <c r="H449" s="15"/>
    </row>
    <row r="450" spans="8:8" x14ac:dyDescent="0.25">
      <c r="H450" s="15"/>
    </row>
    <row r="451" spans="8:8" x14ac:dyDescent="0.25">
      <c r="H451" s="15"/>
    </row>
    <row r="452" spans="8:8" x14ac:dyDescent="0.25">
      <c r="H452" s="15"/>
    </row>
    <row r="453" spans="8:8" x14ac:dyDescent="0.25">
      <c r="H453" s="15"/>
    </row>
    <row r="454" spans="8:8" x14ac:dyDescent="0.25">
      <c r="H454" s="15"/>
    </row>
    <row r="455" spans="8:8" x14ac:dyDescent="0.25">
      <c r="H455" s="15"/>
    </row>
    <row r="456" spans="8:8" x14ac:dyDescent="0.25">
      <c r="H456" s="15"/>
    </row>
    <row r="457" spans="8:8" x14ac:dyDescent="0.25">
      <c r="H457" s="15"/>
    </row>
    <row r="458" spans="8:8" x14ac:dyDescent="0.25">
      <c r="H458" s="15"/>
    </row>
    <row r="459" spans="8:8" x14ac:dyDescent="0.25">
      <c r="H459" s="15"/>
    </row>
    <row r="460" spans="8:8" x14ac:dyDescent="0.25">
      <c r="H460" s="15"/>
    </row>
    <row r="461" spans="8:8" x14ac:dyDescent="0.25">
      <c r="H461" s="15"/>
    </row>
    <row r="462" spans="8:8" x14ac:dyDescent="0.25">
      <c r="H462" s="15"/>
    </row>
    <row r="463" spans="8:8" x14ac:dyDescent="0.25">
      <c r="H463" s="15"/>
    </row>
    <row r="464" spans="8:8" x14ac:dyDescent="0.25">
      <c r="H464" s="15"/>
    </row>
    <row r="465" spans="8:8" x14ac:dyDescent="0.25">
      <c r="H465" s="15"/>
    </row>
    <row r="466" spans="8:8" x14ac:dyDescent="0.25">
      <c r="H466" s="15"/>
    </row>
    <row r="467" spans="8:8" x14ac:dyDescent="0.25">
      <c r="H467" s="15"/>
    </row>
    <row r="468" spans="8:8" x14ac:dyDescent="0.25">
      <c r="H468" s="15"/>
    </row>
    <row r="469" spans="8:8" x14ac:dyDescent="0.25">
      <c r="H469" s="15"/>
    </row>
    <row r="470" spans="8:8" x14ac:dyDescent="0.25">
      <c r="H470" s="15"/>
    </row>
    <row r="471" spans="8:8" x14ac:dyDescent="0.25">
      <c r="H471" s="15"/>
    </row>
    <row r="472" spans="8:8" x14ac:dyDescent="0.25">
      <c r="H472" s="15"/>
    </row>
    <row r="473" spans="8:8" x14ac:dyDescent="0.25">
      <c r="H473" s="15"/>
    </row>
    <row r="474" spans="8:8" x14ac:dyDescent="0.25">
      <c r="H474" s="15"/>
    </row>
    <row r="475" spans="8:8" x14ac:dyDescent="0.25">
      <c r="H475" s="15"/>
    </row>
    <row r="476" spans="8:8" x14ac:dyDescent="0.25">
      <c r="H476" s="15"/>
    </row>
    <row r="477" spans="8:8" x14ac:dyDescent="0.25">
      <c r="H477" s="15"/>
    </row>
    <row r="478" spans="8:8" x14ac:dyDescent="0.25">
      <c r="H478" s="15"/>
    </row>
    <row r="479" spans="8:8" x14ac:dyDescent="0.25">
      <c r="H479" s="15"/>
    </row>
    <row r="480" spans="8:8" x14ac:dyDescent="0.25">
      <c r="H480" s="15"/>
    </row>
    <row r="481" spans="8:8" x14ac:dyDescent="0.25">
      <c r="H481" s="15"/>
    </row>
    <row r="482" spans="8:8" x14ac:dyDescent="0.25">
      <c r="H482" s="15"/>
    </row>
    <row r="483" spans="8:8" x14ac:dyDescent="0.25">
      <c r="H483" s="15"/>
    </row>
    <row r="484" spans="8:8" x14ac:dyDescent="0.25">
      <c r="H484" s="15"/>
    </row>
    <row r="485" spans="8:8" x14ac:dyDescent="0.25">
      <c r="H485" s="15"/>
    </row>
    <row r="486" spans="8:8" x14ac:dyDescent="0.25">
      <c r="H486" s="15"/>
    </row>
    <row r="487" spans="8:8" x14ac:dyDescent="0.25">
      <c r="H487" s="15"/>
    </row>
    <row r="488" spans="8:8" x14ac:dyDescent="0.25">
      <c r="H488" s="15"/>
    </row>
    <row r="489" spans="8:8" x14ac:dyDescent="0.25">
      <c r="H489" s="15"/>
    </row>
    <row r="490" spans="8:8" x14ac:dyDescent="0.25">
      <c r="H490" s="15"/>
    </row>
    <row r="491" spans="8:8" x14ac:dyDescent="0.25">
      <c r="H491" s="15"/>
    </row>
    <row r="492" spans="8:8" x14ac:dyDescent="0.25">
      <c r="H492" s="15"/>
    </row>
    <row r="493" spans="8:8" x14ac:dyDescent="0.25">
      <c r="H493" s="15"/>
    </row>
    <row r="494" spans="8:8" x14ac:dyDescent="0.25">
      <c r="H494" s="15"/>
    </row>
    <row r="495" spans="8:8" x14ac:dyDescent="0.25">
      <c r="H495" s="15"/>
    </row>
    <row r="496" spans="8:8" x14ac:dyDescent="0.25">
      <c r="H496" s="15"/>
    </row>
    <row r="497" spans="8:8" x14ac:dyDescent="0.25">
      <c r="H497" s="15"/>
    </row>
    <row r="498" spans="8:8" x14ac:dyDescent="0.25">
      <c r="H498" s="15"/>
    </row>
    <row r="499" spans="8:8" x14ac:dyDescent="0.25">
      <c r="H499" s="15"/>
    </row>
    <row r="500" spans="8:8" x14ac:dyDescent="0.25">
      <c r="H500" s="15"/>
    </row>
    <row r="501" spans="8:8" x14ac:dyDescent="0.25">
      <c r="H501" s="15"/>
    </row>
    <row r="502" spans="8:8" x14ac:dyDescent="0.25">
      <c r="H502" s="15"/>
    </row>
    <row r="503" spans="8:8" x14ac:dyDescent="0.25">
      <c r="H503" s="15"/>
    </row>
    <row r="504" spans="8:8" x14ac:dyDescent="0.25">
      <c r="H504" s="15"/>
    </row>
    <row r="505" spans="8:8" x14ac:dyDescent="0.25">
      <c r="H505" s="15"/>
    </row>
    <row r="506" spans="8:8" x14ac:dyDescent="0.25">
      <c r="H506" s="15"/>
    </row>
    <row r="507" spans="8:8" x14ac:dyDescent="0.25">
      <c r="H507" s="15"/>
    </row>
    <row r="508" spans="8:8" x14ac:dyDescent="0.25">
      <c r="H508" s="15"/>
    </row>
    <row r="509" spans="8:8" x14ac:dyDescent="0.25">
      <c r="H509" s="15"/>
    </row>
    <row r="510" spans="8:8" x14ac:dyDescent="0.25">
      <c r="H510" s="15"/>
    </row>
    <row r="511" spans="8:8" x14ac:dyDescent="0.25">
      <c r="H511" s="15"/>
    </row>
    <row r="512" spans="8:8" x14ac:dyDescent="0.25">
      <c r="H512" s="15"/>
    </row>
    <row r="513" spans="8:8" x14ac:dyDescent="0.25">
      <c r="H513" s="15"/>
    </row>
    <row r="514" spans="8:8" x14ac:dyDescent="0.25">
      <c r="H514" s="15"/>
    </row>
    <row r="515" spans="8:8" x14ac:dyDescent="0.25">
      <c r="H515" s="15"/>
    </row>
    <row r="516" spans="8:8" x14ac:dyDescent="0.25">
      <c r="H516" s="15"/>
    </row>
    <row r="517" spans="8:8" x14ac:dyDescent="0.25">
      <c r="H517" s="15"/>
    </row>
    <row r="518" spans="8:8" x14ac:dyDescent="0.25">
      <c r="H518" s="15"/>
    </row>
    <row r="519" spans="8:8" x14ac:dyDescent="0.25">
      <c r="H519" s="15"/>
    </row>
    <row r="520" spans="8:8" x14ac:dyDescent="0.25">
      <c r="H520" s="15"/>
    </row>
    <row r="521" spans="8:8" x14ac:dyDescent="0.25">
      <c r="H521" s="15"/>
    </row>
    <row r="522" spans="8:8" x14ac:dyDescent="0.25">
      <c r="H522" s="15"/>
    </row>
    <row r="523" spans="8:8" x14ac:dyDescent="0.25">
      <c r="H523" s="15"/>
    </row>
    <row r="524" spans="8:8" x14ac:dyDescent="0.25">
      <c r="H524" s="15"/>
    </row>
    <row r="525" spans="8:8" x14ac:dyDescent="0.25">
      <c r="H525" s="15"/>
    </row>
    <row r="526" spans="8:8" x14ac:dyDescent="0.25">
      <c r="H526" s="15"/>
    </row>
    <row r="527" spans="8:8" x14ac:dyDescent="0.25">
      <c r="H527" s="15"/>
    </row>
    <row r="528" spans="8:8" x14ac:dyDescent="0.25">
      <c r="H528" s="15"/>
    </row>
    <row r="529" spans="8:8" x14ac:dyDescent="0.25">
      <c r="H529" s="15"/>
    </row>
    <row r="530" spans="8:8" x14ac:dyDescent="0.25">
      <c r="H530" s="15"/>
    </row>
    <row r="531" spans="8:8" x14ac:dyDescent="0.25">
      <c r="H531" s="15"/>
    </row>
    <row r="532" spans="8:8" x14ac:dyDescent="0.25">
      <c r="H532" s="15"/>
    </row>
    <row r="533" spans="8:8" x14ac:dyDescent="0.25">
      <c r="H533" s="15"/>
    </row>
    <row r="534" spans="8:8" x14ac:dyDescent="0.25">
      <c r="H534" s="15"/>
    </row>
    <row r="535" spans="8:8" x14ac:dyDescent="0.25">
      <c r="H535" s="15"/>
    </row>
    <row r="536" spans="8:8" x14ac:dyDescent="0.25">
      <c r="H536" s="15"/>
    </row>
    <row r="537" spans="8:8" x14ac:dyDescent="0.25">
      <c r="H537" s="15"/>
    </row>
    <row r="538" spans="8:8" x14ac:dyDescent="0.25">
      <c r="H538" s="15"/>
    </row>
    <row r="539" spans="8:8" x14ac:dyDescent="0.25">
      <c r="H539" s="15"/>
    </row>
    <row r="540" spans="8:8" x14ac:dyDescent="0.25">
      <c r="H540" s="15"/>
    </row>
    <row r="541" spans="8:8" x14ac:dyDescent="0.25">
      <c r="H541" s="15"/>
    </row>
    <row r="542" spans="8:8" x14ac:dyDescent="0.25">
      <c r="H542" s="15"/>
    </row>
    <row r="543" spans="8:8" x14ac:dyDescent="0.25">
      <c r="H543" s="15"/>
    </row>
    <row r="544" spans="8:8" x14ac:dyDescent="0.25">
      <c r="H544" s="15"/>
    </row>
    <row r="545" spans="8:8" x14ac:dyDescent="0.25">
      <c r="H545" s="15"/>
    </row>
    <row r="546" spans="8:8" x14ac:dyDescent="0.25">
      <c r="H546" s="15"/>
    </row>
    <row r="547" spans="8:8" x14ac:dyDescent="0.25">
      <c r="H547" s="15"/>
    </row>
    <row r="548" spans="8:8" x14ac:dyDescent="0.25">
      <c r="H548" s="15"/>
    </row>
    <row r="549" spans="8:8" x14ac:dyDescent="0.25">
      <c r="H549" s="15"/>
    </row>
    <row r="550" spans="8:8" x14ac:dyDescent="0.25">
      <c r="H550" s="15"/>
    </row>
    <row r="551" spans="8:8" x14ac:dyDescent="0.25">
      <c r="H551" s="15"/>
    </row>
    <row r="552" spans="8:8" x14ac:dyDescent="0.25">
      <c r="H552" s="15"/>
    </row>
    <row r="553" spans="8:8" x14ac:dyDescent="0.25">
      <c r="H553" s="15"/>
    </row>
    <row r="554" spans="8:8" x14ac:dyDescent="0.25">
      <c r="H554" s="15"/>
    </row>
    <row r="555" spans="8:8" x14ac:dyDescent="0.25">
      <c r="H555" s="15"/>
    </row>
    <row r="556" spans="8:8" x14ac:dyDescent="0.25">
      <c r="H556" s="15"/>
    </row>
    <row r="557" spans="8:8" x14ac:dyDescent="0.25">
      <c r="H557" s="15"/>
    </row>
    <row r="558" spans="8:8" x14ac:dyDescent="0.25">
      <c r="H558" s="15"/>
    </row>
    <row r="559" spans="8:8" x14ac:dyDescent="0.25">
      <c r="H559" s="15"/>
    </row>
    <row r="560" spans="8:8" x14ac:dyDescent="0.25">
      <c r="H560" s="15"/>
    </row>
    <row r="561" spans="8:8" x14ac:dyDescent="0.25">
      <c r="H561" s="15"/>
    </row>
    <row r="562" spans="8:8" x14ac:dyDescent="0.25">
      <c r="H562" s="15"/>
    </row>
    <row r="563" spans="8:8" x14ac:dyDescent="0.25">
      <c r="H563" s="15"/>
    </row>
    <row r="564" spans="8:8" x14ac:dyDescent="0.25">
      <c r="H564" s="15"/>
    </row>
    <row r="565" spans="8:8" x14ac:dyDescent="0.25">
      <c r="H565" s="15"/>
    </row>
    <row r="566" spans="8:8" x14ac:dyDescent="0.25">
      <c r="H566" s="15"/>
    </row>
    <row r="567" spans="8:8" x14ac:dyDescent="0.25">
      <c r="H567" s="15"/>
    </row>
    <row r="568" spans="8:8" x14ac:dyDescent="0.25">
      <c r="H568" s="15"/>
    </row>
    <row r="569" spans="8:8" x14ac:dyDescent="0.25">
      <c r="H569" s="15"/>
    </row>
    <row r="570" spans="8:8" x14ac:dyDescent="0.25">
      <c r="H570" s="15"/>
    </row>
    <row r="571" spans="8:8" x14ac:dyDescent="0.25">
      <c r="H571" s="15"/>
    </row>
    <row r="572" spans="8:8" x14ac:dyDescent="0.25">
      <c r="H572" s="15"/>
    </row>
    <row r="573" spans="8:8" x14ac:dyDescent="0.25">
      <c r="H573" s="15"/>
    </row>
    <row r="574" spans="8:8" x14ac:dyDescent="0.25">
      <c r="H574" s="15"/>
    </row>
    <row r="575" spans="8:8" x14ac:dyDescent="0.25">
      <c r="H575" s="15"/>
    </row>
    <row r="576" spans="8:8" x14ac:dyDescent="0.25">
      <c r="H576" s="15"/>
    </row>
    <row r="577" spans="8:8" x14ac:dyDescent="0.25">
      <c r="H577" s="15"/>
    </row>
    <row r="578" spans="8:8" x14ac:dyDescent="0.25">
      <c r="H578" s="15"/>
    </row>
    <row r="579" spans="8:8" x14ac:dyDescent="0.25">
      <c r="H579" s="15"/>
    </row>
    <row r="580" spans="8:8" x14ac:dyDescent="0.25">
      <c r="H580" s="15"/>
    </row>
    <row r="581" spans="8:8" x14ac:dyDescent="0.25">
      <c r="H581" s="15"/>
    </row>
    <row r="582" spans="8:8" x14ac:dyDescent="0.25">
      <c r="H582" s="15"/>
    </row>
    <row r="583" spans="8:8" x14ac:dyDescent="0.25">
      <c r="H583" s="15"/>
    </row>
    <row r="584" spans="8:8" x14ac:dyDescent="0.25">
      <c r="H584" s="15"/>
    </row>
    <row r="585" spans="8:8" x14ac:dyDescent="0.25">
      <c r="H585" s="15"/>
    </row>
    <row r="586" spans="8:8" x14ac:dyDescent="0.25">
      <c r="H586" s="15"/>
    </row>
    <row r="587" spans="8:8" x14ac:dyDescent="0.25">
      <c r="H587" s="15"/>
    </row>
    <row r="588" spans="8:8" x14ac:dyDescent="0.25">
      <c r="H588" s="15"/>
    </row>
    <row r="589" spans="8:8" x14ac:dyDescent="0.25">
      <c r="H589" s="15"/>
    </row>
    <row r="590" spans="8:8" x14ac:dyDescent="0.25">
      <c r="H590" s="15"/>
    </row>
    <row r="591" spans="8:8" x14ac:dyDescent="0.25">
      <c r="H591" s="15"/>
    </row>
    <row r="592" spans="8:8" x14ac:dyDescent="0.25">
      <c r="H592" s="15"/>
    </row>
    <row r="593" spans="8:8" x14ac:dyDescent="0.25">
      <c r="H593" s="15"/>
    </row>
    <row r="594" spans="8:8" x14ac:dyDescent="0.25">
      <c r="H594" s="15"/>
    </row>
    <row r="595" spans="8:8" x14ac:dyDescent="0.25">
      <c r="H595" s="15"/>
    </row>
    <row r="596" spans="8:8" x14ac:dyDescent="0.25">
      <c r="H596" s="15"/>
    </row>
    <row r="597" spans="8:8" x14ac:dyDescent="0.25">
      <c r="H597" s="15"/>
    </row>
    <row r="598" spans="8:8" x14ac:dyDescent="0.25">
      <c r="H598" s="15"/>
    </row>
    <row r="599" spans="8:8" x14ac:dyDescent="0.25">
      <c r="H599" s="15"/>
    </row>
    <row r="600" spans="8:8" x14ac:dyDescent="0.25">
      <c r="H600" s="15"/>
    </row>
    <row r="601" spans="8:8" x14ac:dyDescent="0.25">
      <c r="H601" s="15"/>
    </row>
    <row r="602" spans="8:8" x14ac:dyDescent="0.25">
      <c r="H602" s="15"/>
    </row>
    <row r="603" spans="8:8" x14ac:dyDescent="0.25">
      <c r="H603" s="15"/>
    </row>
    <row r="604" spans="8:8" x14ac:dyDescent="0.25">
      <c r="H604" s="15"/>
    </row>
    <row r="605" spans="8:8" x14ac:dyDescent="0.25">
      <c r="H605" s="15"/>
    </row>
    <row r="606" spans="8:8" x14ac:dyDescent="0.25">
      <c r="H606" s="15"/>
    </row>
    <row r="607" spans="8:8" x14ac:dyDescent="0.25">
      <c r="H607" s="15"/>
    </row>
    <row r="608" spans="8:8" x14ac:dyDescent="0.25">
      <c r="H608" s="15"/>
    </row>
    <row r="609" spans="8:8" x14ac:dyDescent="0.25">
      <c r="H609" s="15"/>
    </row>
    <row r="610" spans="8:8" x14ac:dyDescent="0.25">
      <c r="H610" s="15"/>
    </row>
    <row r="611" spans="8:8" x14ac:dyDescent="0.25">
      <c r="H611" s="15"/>
    </row>
    <row r="612" spans="8:8" x14ac:dyDescent="0.25">
      <c r="H612" s="15"/>
    </row>
    <row r="613" spans="8:8" x14ac:dyDescent="0.25">
      <c r="H613" s="15"/>
    </row>
    <row r="614" spans="8:8" x14ac:dyDescent="0.25">
      <c r="H614" s="15"/>
    </row>
    <row r="615" spans="8:8" x14ac:dyDescent="0.25">
      <c r="H615" s="15"/>
    </row>
    <row r="616" spans="8:8" x14ac:dyDescent="0.25">
      <c r="H616" s="15"/>
    </row>
    <row r="617" spans="8:8" x14ac:dyDescent="0.25">
      <c r="H617" s="15"/>
    </row>
    <row r="618" spans="8:8" x14ac:dyDescent="0.25">
      <c r="H618" s="15"/>
    </row>
    <row r="619" spans="8:8" x14ac:dyDescent="0.25">
      <c r="H619" s="15"/>
    </row>
    <row r="620" spans="8:8" x14ac:dyDescent="0.25">
      <c r="H620" s="15"/>
    </row>
    <row r="621" spans="8:8" x14ac:dyDescent="0.25">
      <c r="H621" s="15"/>
    </row>
    <row r="622" spans="8:8" x14ac:dyDescent="0.25">
      <c r="H622" s="15"/>
    </row>
    <row r="623" spans="8:8" x14ac:dyDescent="0.25">
      <c r="H623" s="15"/>
    </row>
    <row r="624" spans="8:8" x14ac:dyDescent="0.25">
      <c r="H624" s="15"/>
    </row>
    <row r="625" spans="8:8" x14ac:dyDescent="0.25">
      <c r="H625" s="15"/>
    </row>
    <row r="626" spans="8:8" x14ac:dyDescent="0.25">
      <c r="H626" s="15"/>
    </row>
    <row r="627" spans="8:8" x14ac:dyDescent="0.25">
      <c r="H627" s="15"/>
    </row>
    <row r="628" spans="8:8" x14ac:dyDescent="0.25">
      <c r="H628" s="15"/>
    </row>
    <row r="629" spans="8:8" x14ac:dyDescent="0.25">
      <c r="H629" s="15"/>
    </row>
    <row r="630" spans="8:8" x14ac:dyDescent="0.25">
      <c r="H630" s="15"/>
    </row>
    <row r="631" spans="8:8" x14ac:dyDescent="0.25">
      <c r="H631" s="15"/>
    </row>
    <row r="632" spans="8:8" x14ac:dyDescent="0.25">
      <c r="H632" s="15"/>
    </row>
    <row r="633" spans="8:8" x14ac:dyDescent="0.25">
      <c r="H633" s="15"/>
    </row>
    <row r="634" spans="8:8" x14ac:dyDescent="0.25">
      <c r="H634" s="15"/>
    </row>
    <row r="635" spans="8:8" x14ac:dyDescent="0.25">
      <c r="H635" s="15"/>
    </row>
    <row r="636" spans="8:8" x14ac:dyDescent="0.25">
      <c r="H636" s="15"/>
    </row>
    <row r="637" spans="8:8" x14ac:dyDescent="0.25">
      <c r="H637" s="15"/>
    </row>
    <row r="638" spans="8:8" x14ac:dyDescent="0.25">
      <c r="H638" s="15"/>
    </row>
    <row r="639" spans="8:8" x14ac:dyDescent="0.25">
      <c r="H639" s="15"/>
    </row>
    <row r="640" spans="8:8" x14ac:dyDescent="0.25">
      <c r="H640" s="15"/>
    </row>
    <row r="641" spans="8:8" x14ac:dyDescent="0.25">
      <c r="H641" s="15"/>
    </row>
    <row r="642" spans="8:8" x14ac:dyDescent="0.25">
      <c r="H642" s="15"/>
    </row>
    <row r="643" spans="8:8" x14ac:dyDescent="0.25">
      <c r="H643" s="15"/>
    </row>
    <row r="644" spans="8:8" x14ac:dyDescent="0.25">
      <c r="H644" s="15"/>
    </row>
    <row r="645" spans="8:8" x14ac:dyDescent="0.25">
      <c r="H645" s="15"/>
    </row>
    <row r="646" spans="8:8" x14ac:dyDescent="0.25">
      <c r="H646" s="15"/>
    </row>
    <row r="647" spans="8:8" x14ac:dyDescent="0.25">
      <c r="H647" s="15"/>
    </row>
    <row r="648" spans="8:8" x14ac:dyDescent="0.25">
      <c r="H648" s="15"/>
    </row>
    <row r="649" spans="8:8" x14ac:dyDescent="0.25">
      <c r="H649" s="15"/>
    </row>
    <row r="650" spans="8:8" x14ac:dyDescent="0.25">
      <c r="H650" s="15"/>
    </row>
    <row r="651" spans="8:8" x14ac:dyDescent="0.25">
      <c r="H651" s="15"/>
    </row>
    <row r="652" spans="8:8" x14ac:dyDescent="0.25">
      <c r="H652" s="15"/>
    </row>
    <row r="653" spans="8:8" x14ac:dyDescent="0.25">
      <c r="H653" s="15"/>
    </row>
    <row r="654" spans="8:8" x14ac:dyDescent="0.25">
      <c r="H654" s="15"/>
    </row>
    <row r="655" spans="8:8" x14ac:dyDescent="0.25">
      <c r="H655" s="15"/>
    </row>
    <row r="656" spans="8:8" x14ac:dyDescent="0.25">
      <c r="H656" s="15"/>
    </row>
    <row r="657" spans="8:8" x14ac:dyDescent="0.25">
      <c r="H657" s="15"/>
    </row>
    <row r="658" spans="8:8" x14ac:dyDescent="0.25">
      <c r="H658" s="15"/>
    </row>
    <row r="659" spans="8:8" x14ac:dyDescent="0.25">
      <c r="H659" s="15"/>
    </row>
    <row r="660" spans="8:8" x14ac:dyDescent="0.25">
      <c r="H660" s="15"/>
    </row>
    <row r="661" spans="8:8" x14ac:dyDescent="0.25">
      <c r="H661" s="15"/>
    </row>
    <row r="662" spans="8:8" x14ac:dyDescent="0.25">
      <c r="H662" s="15"/>
    </row>
    <row r="663" spans="8:8" x14ac:dyDescent="0.25">
      <c r="H663" s="15"/>
    </row>
    <row r="664" spans="8:8" x14ac:dyDescent="0.25">
      <c r="H664" s="15"/>
    </row>
    <row r="665" spans="8:8" x14ac:dyDescent="0.25">
      <c r="H665" s="15"/>
    </row>
    <row r="666" spans="8:8" x14ac:dyDescent="0.25">
      <c r="H666" s="15"/>
    </row>
    <row r="667" spans="8:8" x14ac:dyDescent="0.25">
      <c r="H667" s="15"/>
    </row>
    <row r="668" spans="8:8" x14ac:dyDescent="0.25">
      <c r="H668" s="15"/>
    </row>
    <row r="669" spans="8:8" x14ac:dyDescent="0.25">
      <c r="H669" s="15"/>
    </row>
    <row r="670" spans="8:8" x14ac:dyDescent="0.25">
      <c r="H670" s="15"/>
    </row>
    <row r="671" spans="8:8" x14ac:dyDescent="0.25">
      <c r="H671" s="15"/>
    </row>
    <row r="672" spans="8:8" x14ac:dyDescent="0.25">
      <c r="H672" s="15"/>
    </row>
    <row r="673" spans="8:8" x14ac:dyDescent="0.25">
      <c r="H673" s="15"/>
    </row>
    <row r="674" spans="8:8" x14ac:dyDescent="0.25">
      <c r="H674" s="15"/>
    </row>
    <row r="675" spans="8:8" x14ac:dyDescent="0.25">
      <c r="H675" s="15"/>
    </row>
    <row r="676" spans="8:8" x14ac:dyDescent="0.25">
      <c r="H676" s="15"/>
    </row>
    <row r="677" spans="8:8" x14ac:dyDescent="0.25">
      <c r="H677" s="15"/>
    </row>
    <row r="678" spans="8:8" x14ac:dyDescent="0.25">
      <c r="H678" s="15"/>
    </row>
    <row r="679" spans="8:8" x14ac:dyDescent="0.25">
      <c r="H679" s="15"/>
    </row>
    <row r="680" spans="8:8" x14ac:dyDescent="0.25">
      <c r="H680" s="15"/>
    </row>
    <row r="681" spans="8:8" x14ac:dyDescent="0.25">
      <c r="H681" s="15"/>
    </row>
    <row r="682" spans="8:8" x14ac:dyDescent="0.25">
      <c r="H682" s="15"/>
    </row>
    <row r="683" spans="8:8" x14ac:dyDescent="0.25">
      <c r="H683" s="15"/>
    </row>
    <row r="684" spans="8:8" x14ac:dyDescent="0.25">
      <c r="H684" s="15"/>
    </row>
    <row r="685" spans="8:8" x14ac:dyDescent="0.25">
      <c r="H685" s="15"/>
    </row>
    <row r="686" spans="8:8" x14ac:dyDescent="0.25">
      <c r="H686" s="15"/>
    </row>
    <row r="687" spans="8:8" x14ac:dyDescent="0.25">
      <c r="H687" s="15"/>
    </row>
    <row r="688" spans="8:8" x14ac:dyDescent="0.25">
      <c r="H688" s="15"/>
    </row>
    <row r="689" spans="8:8" x14ac:dyDescent="0.25">
      <c r="H689" s="15"/>
    </row>
    <row r="690" spans="8:8" x14ac:dyDescent="0.25">
      <c r="H690" s="15"/>
    </row>
    <row r="691" spans="8:8" x14ac:dyDescent="0.25">
      <c r="H691" s="15"/>
    </row>
    <row r="692" spans="8:8" x14ac:dyDescent="0.25">
      <c r="H692" s="15"/>
    </row>
    <row r="693" spans="8:8" x14ac:dyDescent="0.25">
      <c r="H693" s="15"/>
    </row>
    <row r="694" spans="8:8" x14ac:dyDescent="0.25">
      <c r="H694" s="15"/>
    </row>
    <row r="695" spans="8:8" x14ac:dyDescent="0.25">
      <c r="H695" s="15"/>
    </row>
    <row r="696" spans="8:8" x14ac:dyDescent="0.25">
      <c r="H696" s="15"/>
    </row>
    <row r="697" spans="8:8" x14ac:dyDescent="0.25">
      <c r="H697" s="15"/>
    </row>
    <row r="698" spans="8:8" x14ac:dyDescent="0.25">
      <c r="H698" s="15"/>
    </row>
    <row r="699" spans="8:8" x14ac:dyDescent="0.25">
      <c r="H699" s="15"/>
    </row>
    <row r="700" spans="8:8" x14ac:dyDescent="0.25">
      <c r="H700" s="15"/>
    </row>
    <row r="701" spans="8:8" x14ac:dyDescent="0.25">
      <c r="H701" s="15"/>
    </row>
    <row r="702" spans="8:8" x14ac:dyDescent="0.25">
      <c r="H702" s="15"/>
    </row>
    <row r="703" spans="8:8" x14ac:dyDescent="0.25">
      <c r="H703" s="15"/>
    </row>
    <row r="704" spans="8:8" x14ac:dyDescent="0.25">
      <c r="H704" s="15"/>
    </row>
    <row r="705" spans="8:8" x14ac:dyDescent="0.25">
      <c r="H705" s="15"/>
    </row>
    <row r="706" spans="8:8" x14ac:dyDescent="0.25">
      <c r="H706" s="15"/>
    </row>
    <row r="707" spans="8:8" x14ac:dyDescent="0.25">
      <c r="H707" s="15"/>
    </row>
    <row r="708" spans="8:8" x14ac:dyDescent="0.25">
      <c r="H708" s="15"/>
    </row>
    <row r="709" spans="8:8" x14ac:dyDescent="0.25">
      <c r="H709" s="15"/>
    </row>
    <row r="710" spans="8:8" x14ac:dyDescent="0.25">
      <c r="H710" s="15"/>
    </row>
    <row r="711" spans="8:8" x14ac:dyDescent="0.25">
      <c r="H711" s="15"/>
    </row>
    <row r="712" spans="8:8" x14ac:dyDescent="0.25">
      <c r="H712" s="15"/>
    </row>
    <row r="713" spans="8:8" x14ac:dyDescent="0.25">
      <c r="H713" s="15"/>
    </row>
    <row r="714" spans="8:8" x14ac:dyDescent="0.25">
      <c r="H714" s="15"/>
    </row>
    <row r="715" spans="8:8" x14ac:dyDescent="0.25">
      <c r="H715" s="15"/>
    </row>
    <row r="716" spans="8:8" x14ac:dyDescent="0.25">
      <c r="H716" s="15"/>
    </row>
    <row r="717" spans="8:8" x14ac:dyDescent="0.25">
      <c r="H717" s="15"/>
    </row>
    <row r="718" spans="8:8" x14ac:dyDescent="0.25">
      <c r="H718" s="15"/>
    </row>
    <row r="719" spans="8:8" x14ac:dyDescent="0.25">
      <c r="H719" s="15"/>
    </row>
    <row r="720" spans="8:8" x14ac:dyDescent="0.25">
      <c r="H720" s="15"/>
    </row>
    <row r="721" spans="8:8" x14ac:dyDescent="0.25">
      <c r="H721" s="15"/>
    </row>
    <row r="722" spans="8:8" x14ac:dyDescent="0.25">
      <c r="H722" s="15"/>
    </row>
    <row r="723" spans="8:8" x14ac:dyDescent="0.25">
      <c r="H723" s="15"/>
    </row>
    <row r="724" spans="8:8" x14ac:dyDescent="0.25">
      <c r="H724" s="15"/>
    </row>
    <row r="725" spans="8:8" x14ac:dyDescent="0.25">
      <c r="H725" s="15"/>
    </row>
    <row r="726" spans="8:8" x14ac:dyDescent="0.25">
      <c r="H726" s="15"/>
    </row>
    <row r="727" spans="8:8" x14ac:dyDescent="0.25">
      <c r="H727" s="15"/>
    </row>
    <row r="728" spans="8:8" x14ac:dyDescent="0.25">
      <c r="H728" s="15"/>
    </row>
    <row r="729" spans="8:8" x14ac:dyDescent="0.25">
      <c r="H729" s="15"/>
    </row>
    <row r="730" spans="8:8" x14ac:dyDescent="0.25">
      <c r="H730" s="15"/>
    </row>
    <row r="731" spans="8:8" x14ac:dyDescent="0.25">
      <c r="H731" s="15"/>
    </row>
    <row r="732" spans="8:8" x14ac:dyDescent="0.25">
      <c r="H732" s="15"/>
    </row>
    <row r="733" spans="8:8" x14ac:dyDescent="0.25">
      <c r="H733" s="15"/>
    </row>
    <row r="734" spans="8:8" x14ac:dyDescent="0.25">
      <c r="H734" s="15"/>
    </row>
    <row r="735" spans="8:8" x14ac:dyDescent="0.25">
      <c r="H735" s="15"/>
    </row>
    <row r="736" spans="8:8" x14ac:dyDescent="0.25">
      <c r="H736" s="15"/>
    </row>
    <row r="737" spans="8:8" x14ac:dyDescent="0.25">
      <c r="H737" s="15"/>
    </row>
    <row r="738" spans="8:8" x14ac:dyDescent="0.25">
      <c r="H738" s="15"/>
    </row>
    <row r="739" spans="8:8" x14ac:dyDescent="0.25">
      <c r="H739" s="15"/>
    </row>
    <row r="740" spans="8:8" x14ac:dyDescent="0.25">
      <c r="H740" s="15"/>
    </row>
    <row r="741" spans="8:8" x14ac:dyDescent="0.25">
      <c r="H741" s="15"/>
    </row>
    <row r="742" spans="8:8" x14ac:dyDescent="0.25">
      <c r="H742" s="15"/>
    </row>
    <row r="743" spans="8:8" x14ac:dyDescent="0.25">
      <c r="H743" s="15"/>
    </row>
    <row r="744" spans="8:8" x14ac:dyDescent="0.25">
      <c r="H744" s="15"/>
    </row>
    <row r="745" spans="8:8" x14ac:dyDescent="0.25">
      <c r="H745" s="15"/>
    </row>
    <row r="746" spans="8:8" x14ac:dyDescent="0.25">
      <c r="H746" s="15"/>
    </row>
    <row r="747" spans="8:8" x14ac:dyDescent="0.25">
      <c r="H747" s="15"/>
    </row>
    <row r="748" spans="8:8" x14ac:dyDescent="0.25">
      <c r="H748" s="15"/>
    </row>
    <row r="749" spans="8:8" x14ac:dyDescent="0.25">
      <c r="H749" s="15"/>
    </row>
    <row r="750" spans="8:8" x14ac:dyDescent="0.25">
      <c r="H750" s="15"/>
    </row>
    <row r="751" spans="8:8" x14ac:dyDescent="0.25">
      <c r="H751" s="15"/>
    </row>
    <row r="752" spans="8:8" x14ac:dyDescent="0.25">
      <c r="H752" s="15"/>
    </row>
    <row r="753" spans="8:8" x14ac:dyDescent="0.25">
      <c r="H753" s="15"/>
    </row>
    <row r="754" spans="8:8" x14ac:dyDescent="0.25">
      <c r="H754" s="15"/>
    </row>
    <row r="755" spans="8:8" x14ac:dyDescent="0.25">
      <c r="H755" s="15"/>
    </row>
    <row r="756" spans="8:8" x14ac:dyDescent="0.25">
      <c r="H756" s="15"/>
    </row>
    <row r="757" spans="8:8" x14ac:dyDescent="0.25">
      <c r="H757" s="15"/>
    </row>
    <row r="758" spans="8:8" x14ac:dyDescent="0.25">
      <c r="H758" s="15"/>
    </row>
    <row r="759" spans="8:8" x14ac:dyDescent="0.25">
      <c r="H759" s="15"/>
    </row>
    <row r="760" spans="8:8" x14ac:dyDescent="0.25">
      <c r="H760" s="15"/>
    </row>
    <row r="761" spans="8:8" x14ac:dyDescent="0.25">
      <c r="H761" s="15"/>
    </row>
    <row r="762" spans="8:8" x14ac:dyDescent="0.25">
      <c r="H762" s="15"/>
    </row>
    <row r="763" spans="8:8" x14ac:dyDescent="0.25">
      <c r="H763" s="15"/>
    </row>
    <row r="764" spans="8:8" x14ac:dyDescent="0.25">
      <c r="H764" s="15"/>
    </row>
    <row r="765" spans="8:8" x14ac:dyDescent="0.25">
      <c r="H765" s="15"/>
    </row>
    <row r="766" spans="8:8" x14ac:dyDescent="0.25">
      <c r="H766" s="15"/>
    </row>
    <row r="767" spans="8:8" x14ac:dyDescent="0.25">
      <c r="H767" s="15"/>
    </row>
    <row r="768" spans="8:8" x14ac:dyDescent="0.25">
      <c r="H768" s="15"/>
    </row>
    <row r="769" spans="8:8" x14ac:dyDescent="0.25">
      <c r="H769" s="15"/>
    </row>
    <row r="770" spans="8:8" x14ac:dyDescent="0.25">
      <c r="H770" s="15"/>
    </row>
    <row r="771" spans="8:8" x14ac:dyDescent="0.25">
      <c r="H771" s="15"/>
    </row>
    <row r="772" spans="8:8" x14ac:dyDescent="0.25">
      <c r="H772" s="15"/>
    </row>
    <row r="773" spans="8:8" x14ac:dyDescent="0.25">
      <c r="H773" s="15"/>
    </row>
    <row r="774" spans="8:8" x14ac:dyDescent="0.25">
      <c r="H774" s="15"/>
    </row>
    <row r="775" spans="8:8" x14ac:dyDescent="0.25">
      <c r="H775" s="15"/>
    </row>
    <row r="776" spans="8:8" x14ac:dyDescent="0.25">
      <c r="H776" s="15"/>
    </row>
    <row r="777" spans="8:8" x14ac:dyDescent="0.25">
      <c r="H777" s="15"/>
    </row>
    <row r="778" spans="8:8" x14ac:dyDescent="0.25">
      <c r="H778" s="15"/>
    </row>
    <row r="779" spans="8:8" x14ac:dyDescent="0.25">
      <c r="H779" s="15"/>
    </row>
    <row r="780" spans="8:8" x14ac:dyDescent="0.25">
      <c r="H780" s="15"/>
    </row>
    <row r="781" spans="8:8" x14ac:dyDescent="0.25">
      <c r="H781" s="15"/>
    </row>
    <row r="782" spans="8:8" x14ac:dyDescent="0.25">
      <c r="H782" s="15"/>
    </row>
    <row r="783" spans="8:8" x14ac:dyDescent="0.25">
      <c r="H783" s="15"/>
    </row>
    <row r="784" spans="8:8" x14ac:dyDescent="0.25">
      <c r="H784" s="15"/>
    </row>
    <row r="785" spans="8:8" x14ac:dyDescent="0.25">
      <c r="H785" s="15"/>
    </row>
    <row r="786" spans="8:8" x14ac:dyDescent="0.25">
      <c r="H786" s="15"/>
    </row>
    <row r="787" spans="8:8" x14ac:dyDescent="0.25">
      <c r="H787" s="15"/>
    </row>
    <row r="788" spans="8:8" x14ac:dyDescent="0.25">
      <c r="H788" s="15"/>
    </row>
    <row r="789" spans="8:8" x14ac:dyDescent="0.25">
      <c r="H789" s="15"/>
    </row>
    <row r="790" spans="8:8" x14ac:dyDescent="0.25">
      <c r="H790" s="15"/>
    </row>
    <row r="791" spans="8:8" x14ac:dyDescent="0.25">
      <c r="H791" s="15"/>
    </row>
    <row r="792" spans="8:8" x14ac:dyDescent="0.25">
      <c r="H792" s="15"/>
    </row>
    <row r="793" spans="8:8" x14ac:dyDescent="0.25">
      <c r="H793" s="15"/>
    </row>
    <row r="794" spans="8:8" x14ac:dyDescent="0.25">
      <c r="H794" s="15"/>
    </row>
    <row r="795" spans="8:8" x14ac:dyDescent="0.25">
      <c r="H795" s="15"/>
    </row>
    <row r="796" spans="8:8" x14ac:dyDescent="0.25">
      <c r="H796" s="15"/>
    </row>
    <row r="797" spans="8:8" x14ac:dyDescent="0.25">
      <c r="H797" s="15"/>
    </row>
    <row r="798" spans="8:8" x14ac:dyDescent="0.25">
      <c r="H798" s="15"/>
    </row>
    <row r="799" spans="8:8" x14ac:dyDescent="0.25">
      <c r="H799" s="15"/>
    </row>
    <row r="800" spans="8:8" x14ac:dyDescent="0.25">
      <c r="H800" s="15"/>
    </row>
    <row r="801" spans="8:8" x14ac:dyDescent="0.25">
      <c r="H801" s="15"/>
    </row>
    <row r="802" spans="8:8" x14ac:dyDescent="0.25">
      <c r="H802" s="15"/>
    </row>
    <row r="803" spans="8:8" x14ac:dyDescent="0.25">
      <c r="H803" s="15"/>
    </row>
    <row r="804" spans="8:8" x14ac:dyDescent="0.25">
      <c r="H804" s="15"/>
    </row>
    <row r="805" spans="8:8" x14ac:dyDescent="0.25">
      <c r="H805" s="15"/>
    </row>
    <row r="806" spans="8:8" x14ac:dyDescent="0.25">
      <c r="H806" s="15"/>
    </row>
    <row r="807" spans="8:8" x14ac:dyDescent="0.25">
      <c r="H807" s="15"/>
    </row>
    <row r="808" spans="8:8" x14ac:dyDescent="0.25">
      <c r="H808" s="15"/>
    </row>
    <row r="809" spans="8:8" x14ac:dyDescent="0.25">
      <c r="H809" s="15"/>
    </row>
    <row r="810" spans="8:8" x14ac:dyDescent="0.25">
      <c r="H810" s="15"/>
    </row>
    <row r="811" spans="8:8" x14ac:dyDescent="0.25">
      <c r="H811" s="15"/>
    </row>
    <row r="812" spans="8:8" x14ac:dyDescent="0.25">
      <c r="H812" s="15"/>
    </row>
    <row r="813" spans="8:8" x14ac:dyDescent="0.25">
      <c r="H813" s="15"/>
    </row>
    <row r="814" spans="8:8" x14ac:dyDescent="0.25">
      <c r="H814" s="15"/>
    </row>
    <row r="815" spans="8:8" x14ac:dyDescent="0.25">
      <c r="H815" s="15"/>
    </row>
    <row r="816" spans="8:8" x14ac:dyDescent="0.25">
      <c r="H816" s="15"/>
    </row>
    <row r="817" spans="8:8" x14ac:dyDescent="0.25">
      <c r="H817" s="15"/>
    </row>
    <row r="818" spans="8:8" x14ac:dyDescent="0.25">
      <c r="H818" s="15"/>
    </row>
    <row r="819" spans="8:8" x14ac:dyDescent="0.25">
      <c r="H819" s="15"/>
    </row>
    <row r="820" spans="8:8" x14ac:dyDescent="0.25">
      <c r="H820" s="15"/>
    </row>
    <row r="821" spans="8:8" x14ac:dyDescent="0.25">
      <c r="H821" s="15"/>
    </row>
    <row r="822" spans="8:8" x14ac:dyDescent="0.25">
      <c r="H822" s="15"/>
    </row>
    <row r="823" spans="8:8" x14ac:dyDescent="0.25">
      <c r="H823" s="15"/>
    </row>
    <row r="824" spans="8:8" x14ac:dyDescent="0.25">
      <c r="H824" s="15"/>
    </row>
    <row r="825" spans="8:8" x14ac:dyDescent="0.25">
      <c r="H825" s="15"/>
    </row>
    <row r="826" spans="8:8" x14ac:dyDescent="0.25">
      <c r="H826" s="15"/>
    </row>
    <row r="827" spans="8:8" x14ac:dyDescent="0.25">
      <c r="H827" s="15"/>
    </row>
    <row r="828" spans="8:8" x14ac:dyDescent="0.25">
      <c r="H828" s="15"/>
    </row>
    <row r="829" spans="8:8" x14ac:dyDescent="0.25">
      <c r="H829" s="15"/>
    </row>
    <row r="830" spans="8:8" x14ac:dyDescent="0.25">
      <c r="H830" s="15"/>
    </row>
    <row r="831" spans="8:8" x14ac:dyDescent="0.25">
      <c r="H831" s="15"/>
    </row>
    <row r="832" spans="8:8" x14ac:dyDescent="0.25">
      <c r="H832" s="15"/>
    </row>
    <row r="833" spans="8:8" x14ac:dyDescent="0.25">
      <c r="H833" s="15"/>
    </row>
    <row r="834" spans="8:8" x14ac:dyDescent="0.25">
      <c r="H834" s="15"/>
    </row>
    <row r="835" spans="8:8" x14ac:dyDescent="0.25">
      <c r="H835" s="15"/>
    </row>
    <row r="836" spans="8:8" x14ac:dyDescent="0.25">
      <c r="H836" s="15"/>
    </row>
    <row r="837" spans="8:8" x14ac:dyDescent="0.25">
      <c r="H837" s="15"/>
    </row>
    <row r="838" spans="8:8" x14ac:dyDescent="0.25">
      <c r="H838" s="15"/>
    </row>
    <row r="839" spans="8:8" x14ac:dyDescent="0.25">
      <c r="H839" s="15"/>
    </row>
    <row r="840" spans="8:8" x14ac:dyDescent="0.25">
      <c r="H840" s="15"/>
    </row>
    <row r="841" spans="8:8" x14ac:dyDescent="0.25">
      <c r="H841" s="15"/>
    </row>
    <row r="842" spans="8:8" x14ac:dyDescent="0.25">
      <c r="H842" s="15"/>
    </row>
    <row r="843" spans="8:8" x14ac:dyDescent="0.25">
      <c r="H843" s="15"/>
    </row>
    <row r="844" spans="8:8" x14ac:dyDescent="0.25">
      <c r="H844" s="15"/>
    </row>
    <row r="845" spans="8:8" x14ac:dyDescent="0.25">
      <c r="H845" s="15"/>
    </row>
    <row r="846" spans="8:8" x14ac:dyDescent="0.25">
      <c r="H846" s="15"/>
    </row>
    <row r="847" spans="8:8" x14ac:dyDescent="0.25">
      <c r="H847" s="15"/>
    </row>
    <row r="848" spans="8:8" x14ac:dyDescent="0.25">
      <c r="H848" s="15"/>
    </row>
    <row r="849" spans="8:8" x14ac:dyDescent="0.25">
      <c r="H849" s="15"/>
    </row>
    <row r="850" spans="8:8" x14ac:dyDescent="0.25">
      <c r="H850" s="15"/>
    </row>
    <row r="851" spans="8:8" x14ac:dyDescent="0.25">
      <c r="H851" s="15"/>
    </row>
    <row r="852" spans="8:8" x14ac:dyDescent="0.25">
      <c r="H852" s="15"/>
    </row>
    <row r="853" spans="8:8" x14ac:dyDescent="0.25">
      <c r="H853" s="15"/>
    </row>
    <row r="854" spans="8:8" x14ac:dyDescent="0.25">
      <c r="H854" s="15"/>
    </row>
    <row r="855" spans="8:8" x14ac:dyDescent="0.25">
      <c r="H855" s="15"/>
    </row>
    <row r="856" spans="8:8" x14ac:dyDescent="0.25">
      <c r="H856" s="15"/>
    </row>
    <row r="857" spans="8:8" x14ac:dyDescent="0.25">
      <c r="H857" s="15"/>
    </row>
    <row r="858" spans="8:8" x14ac:dyDescent="0.25">
      <c r="H858" s="15"/>
    </row>
    <row r="859" spans="8:8" x14ac:dyDescent="0.25">
      <c r="H859" s="15"/>
    </row>
    <row r="860" spans="8:8" x14ac:dyDescent="0.25">
      <c r="H860" s="15"/>
    </row>
    <row r="861" spans="8:8" x14ac:dyDescent="0.25">
      <c r="H861" s="15"/>
    </row>
    <row r="862" spans="8:8" x14ac:dyDescent="0.25">
      <c r="H862" s="15"/>
    </row>
    <row r="863" spans="8:8" x14ac:dyDescent="0.25">
      <c r="H863" s="15"/>
    </row>
    <row r="864" spans="8:8" x14ac:dyDescent="0.25">
      <c r="H864" s="15"/>
    </row>
    <row r="865" spans="8:8" x14ac:dyDescent="0.25">
      <c r="H865" s="15"/>
    </row>
    <row r="866" spans="8:8" x14ac:dyDescent="0.25">
      <c r="H866" s="15"/>
    </row>
    <row r="867" spans="8:8" x14ac:dyDescent="0.25">
      <c r="H867" s="15"/>
    </row>
    <row r="868" spans="8:8" x14ac:dyDescent="0.25">
      <c r="H868" s="15"/>
    </row>
    <row r="869" spans="8:8" x14ac:dyDescent="0.25">
      <c r="H869" s="15"/>
    </row>
    <row r="870" spans="8:8" x14ac:dyDescent="0.25">
      <c r="H870" s="15"/>
    </row>
    <row r="871" spans="8:8" x14ac:dyDescent="0.25">
      <c r="H871" s="15"/>
    </row>
    <row r="872" spans="8:8" x14ac:dyDescent="0.25">
      <c r="H872" s="15"/>
    </row>
    <row r="873" spans="8:8" x14ac:dyDescent="0.25">
      <c r="H873" s="15"/>
    </row>
    <row r="874" spans="8:8" x14ac:dyDescent="0.25">
      <c r="H874" s="15"/>
    </row>
    <row r="875" spans="8:8" x14ac:dyDescent="0.25">
      <c r="H875" s="15"/>
    </row>
    <row r="876" spans="8:8" x14ac:dyDescent="0.25">
      <c r="H876" s="15"/>
    </row>
    <row r="877" spans="8:8" x14ac:dyDescent="0.25">
      <c r="H877" s="15"/>
    </row>
    <row r="878" spans="8:8" x14ac:dyDescent="0.25">
      <c r="H878" s="15"/>
    </row>
    <row r="879" spans="8:8" x14ac:dyDescent="0.25">
      <c r="H879" s="15"/>
    </row>
    <row r="880" spans="8:8" x14ac:dyDescent="0.25">
      <c r="H880" s="15"/>
    </row>
    <row r="881" spans="8:8" x14ac:dyDescent="0.25">
      <c r="H881" s="15"/>
    </row>
    <row r="882" spans="8:8" x14ac:dyDescent="0.25">
      <c r="H882" s="15"/>
    </row>
    <row r="883" spans="8:8" x14ac:dyDescent="0.25">
      <c r="H883" s="15"/>
    </row>
    <row r="884" spans="8:8" x14ac:dyDescent="0.25">
      <c r="H884" s="15"/>
    </row>
    <row r="885" spans="8:8" x14ac:dyDescent="0.25">
      <c r="H885" s="15"/>
    </row>
    <row r="886" spans="8:8" x14ac:dyDescent="0.25">
      <c r="H886" s="15"/>
    </row>
    <row r="887" spans="8:8" x14ac:dyDescent="0.25">
      <c r="H887" s="15"/>
    </row>
    <row r="888" spans="8:8" x14ac:dyDescent="0.25">
      <c r="H888" s="15"/>
    </row>
    <row r="889" spans="8:8" x14ac:dyDescent="0.25">
      <c r="H889" s="15"/>
    </row>
    <row r="890" spans="8:8" x14ac:dyDescent="0.25">
      <c r="H890" s="15"/>
    </row>
    <row r="891" spans="8:8" x14ac:dyDescent="0.25">
      <c r="H891" s="15"/>
    </row>
    <row r="892" spans="8:8" x14ac:dyDescent="0.25">
      <c r="H892" s="15"/>
    </row>
    <row r="893" spans="8:8" x14ac:dyDescent="0.25">
      <c r="H893" s="15"/>
    </row>
    <row r="894" spans="8:8" x14ac:dyDescent="0.25">
      <c r="H894" s="15"/>
    </row>
    <row r="895" spans="8:8" x14ac:dyDescent="0.25">
      <c r="H895" s="15"/>
    </row>
    <row r="896" spans="8:8" x14ac:dyDescent="0.25">
      <c r="H896" s="15"/>
    </row>
    <row r="897" spans="8:8" x14ac:dyDescent="0.25">
      <c r="H897" s="15"/>
    </row>
    <row r="898" spans="8:8" x14ac:dyDescent="0.25">
      <c r="H898" s="15"/>
    </row>
    <row r="899" spans="8:8" x14ac:dyDescent="0.25">
      <c r="H899" s="15"/>
    </row>
    <row r="900" spans="8:8" x14ac:dyDescent="0.25">
      <c r="H900" s="15"/>
    </row>
    <row r="901" spans="8:8" x14ac:dyDescent="0.25">
      <c r="H901" s="15"/>
    </row>
    <row r="902" spans="8:8" x14ac:dyDescent="0.25">
      <c r="H902" s="15"/>
    </row>
    <row r="903" spans="8:8" x14ac:dyDescent="0.25">
      <c r="H903" s="15"/>
    </row>
    <row r="904" spans="8:8" x14ac:dyDescent="0.25">
      <c r="H904" s="15"/>
    </row>
    <row r="905" spans="8:8" x14ac:dyDescent="0.25">
      <c r="H905" s="15"/>
    </row>
    <row r="906" spans="8:8" x14ac:dyDescent="0.25">
      <c r="H906" s="15"/>
    </row>
    <row r="907" spans="8:8" x14ac:dyDescent="0.25">
      <c r="H907" s="15"/>
    </row>
    <row r="908" spans="8:8" x14ac:dyDescent="0.25">
      <c r="H908" s="15"/>
    </row>
    <row r="909" spans="8:8" x14ac:dyDescent="0.25">
      <c r="H909" s="15"/>
    </row>
    <row r="910" spans="8:8" x14ac:dyDescent="0.25">
      <c r="H910" s="15"/>
    </row>
    <row r="911" spans="8:8" x14ac:dyDescent="0.25">
      <c r="H911" s="15"/>
    </row>
    <row r="912" spans="8:8" x14ac:dyDescent="0.25">
      <c r="H912" s="15"/>
    </row>
    <row r="913" spans="8:8" x14ac:dyDescent="0.25">
      <c r="H913" s="15"/>
    </row>
    <row r="914" spans="8:8" x14ac:dyDescent="0.25">
      <c r="H914" s="15"/>
    </row>
    <row r="915" spans="8:8" x14ac:dyDescent="0.25">
      <c r="H915" s="15"/>
    </row>
    <row r="916" spans="8:8" x14ac:dyDescent="0.25">
      <c r="H916" s="15"/>
    </row>
    <row r="917" spans="8:8" x14ac:dyDescent="0.25">
      <c r="H917" s="15"/>
    </row>
    <row r="918" spans="8:8" x14ac:dyDescent="0.25">
      <c r="H918" s="15"/>
    </row>
    <row r="919" spans="8:8" x14ac:dyDescent="0.25">
      <c r="H919" s="15"/>
    </row>
    <row r="920" spans="8:8" x14ac:dyDescent="0.25">
      <c r="H920" s="15"/>
    </row>
    <row r="921" spans="8:8" x14ac:dyDescent="0.25">
      <c r="H921" s="15"/>
    </row>
    <row r="922" spans="8:8" x14ac:dyDescent="0.25">
      <c r="H922" s="15"/>
    </row>
    <row r="923" spans="8:8" x14ac:dyDescent="0.25">
      <c r="H923" s="15"/>
    </row>
    <row r="924" spans="8:8" x14ac:dyDescent="0.25">
      <c r="H924" s="15"/>
    </row>
    <row r="925" spans="8:8" x14ac:dyDescent="0.25">
      <c r="H925" s="15"/>
    </row>
    <row r="926" spans="8:8" x14ac:dyDescent="0.25">
      <c r="H926" s="15"/>
    </row>
    <row r="927" spans="8:8" x14ac:dyDescent="0.25">
      <c r="H927" s="15"/>
    </row>
    <row r="928" spans="8:8" x14ac:dyDescent="0.25">
      <c r="H928" s="15"/>
    </row>
    <row r="929" spans="8:8" x14ac:dyDescent="0.25">
      <c r="H929" s="15"/>
    </row>
    <row r="930" spans="8:8" x14ac:dyDescent="0.25">
      <c r="H930" s="15"/>
    </row>
    <row r="931" spans="8:8" x14ac:dyDescent="0.25">
      <c r="H931" s="15"/>
    </row>
    <row r="932" spans="8:8" x14ac:dyDescent="0.25">
      <c r="H932" s="15"/>
    </row>
    <row r="933" spans="8:8" x14ac:dyDescent="0.25">
      <c r="H933" s="15"/>
    </row>
    <row r="934" spans="8:8" x14ac:dyDescent="0.25">
      <c r="H934" s="15"/>
    </row>
    <row r="935" spans="8:8" x14ac:dyDescent="0.25">
      <c r="H935" s="15"/>
    </row>
    <row r="936" spans="8:8" x14ac:dyDescent="0.25">
      <c r="H936" s="15"/>
    </row>
    <row r="937" spans="8:8" x14ac:dyDescent="0.25">
      <c r="H937" s="15"/>
    </row>
    <row r="938" spans="8:8" x14ac:dyDescent="0.25">
      <c r="H938" s="15"/>
    </row>
    <row r="939" spans="8:8" x14ac:dyDescent="0.25">
      <c r="H939" s="15"/>
    </row>
    <row r="940" spans="8:8" x14ac:dyDescent="0.25">
      <c r="H940" s="15"/>
    </row>
    <row r="941" spans="8:8" x14ac:dyDescent="0.25">
      <c r="H941" s="15"/>
    </row>
    <row r="942" spans="8:8" x14ac:dyDescent="0.25">
      <c r="H942" s="15"/>
    </row>
    <row r="943" spans="8:8" x14ac:dyDescent="0.25">
      <c r="H943" s="15"/>
    </row>
    <row r="944" spans="8:8" x14ac:dyDescent="0.25">
      <c r="H944" s="15"/>
    </row>
    <row r="945" spans="8:8" x14ac:dyDescent="0.25">
      <c r="H945" s="15"/>
    </row>
    <row r="946" spans="8:8" x14ac:dyDescent="0.25">
      <c r="H946" s="15"/>
    </row>
    <row r="947" spans="8:8" x14ac:dyDescent="0.25">
      <c r="H947" s="15"/>
    </row>
    <row r="948" spans="8:8" x14ac:dyDescent="0.25">
      <c r="H948" s="15"/>
    </row>
    <row r="949" spans="8:8" x14ac:dyDescent="0.25">
      <c r="H949" s="15"/>
    </row>
    <row r="950" spans="8:8" x14ac:dyDescent="0.25">
      <c r="H950" s="15"/>
    </row>
    <row r="951" spans="8:8" x14ac:dyDescent="0.25">
      <c r="H951" s="15"/>
    </row>
    <row r="952" spans="8:8" x14ac:dyDescent="0.25">
      <c r="H952" s="15"/>
    </row>
    <row r="953" spans="8:8" x14ac:dyDescent="0.25">
      <c r="H953" s="15"/>
    </row>
    <row r="954" spans="8:8" x14ac:dyDescent="0.25">
      <c r="H954" s="15"/>
    </row>
    <row r="955" spans="8:8" x14ac:dyDescent="0.25">
      <c r="H955" s="15"/>
    </row>
    <row r="956" spans="8:8" x14ac:dyDescent="0.25">
      <c r="H956" s="15"/>
    </row>
    <row r="957" spans="8:8" x14ac:dyDescent="0.25">
      <c r="H957" s="15"/>
    </row>
    <row r="958" spans="8:8" x14ac:dyDescent="0.25">
      <c r="H958" s="15"/>
    </row>
    <row r="959" spans="8:8" x14ac:dyDescent="0.25">
      <c r="H959" s="15"/>
    </row>
    <row r="960" spans="8:8" x14ac:dyDescent="0.25">
      <c r="H960" s="15"/>
    </row>
    <row r="961" spans="8:8" x14ac:dyDescent="0.25">
      <c r="H961" s="15"/>
    </row>
    <row r="962" spans="8:8" x14ac:dyDescent="0.25">
      <c r="H962" s="15"/>
    </row>
    <row r="963" spans="8:8" x14ac:dyDescent="0.25">
      <c r="H963" s="15"/>
    </row>
    <row r="964" spans="8:8" x14ac:dyDescent="0.25">
      <c r="H964" s="15"/>
    </row>
    <row r="965" spans="8:8" x14ac:dyDescent="0.25">
      <c r="H965" s="15"/>
    </row>
    <row r="966" spans="8:8" x14ac:dyDescent="0.25">
      <c r="H966" s="15"/>
    </row>
    <row r="967" spans="8:8" x14ac:dyDescent="0.25">
      <c r="H967" s="15"/>
    </row>
    <row r="968" spans="8:8" x14ac:dyDescent="0.25">
      <c r="H968" s="15"/>
    </row>
    <row r="969" spans="8:8" x14ac:dyDescent="0.25">
      <c r="H969" s="15"/>
    </row>
    <row r="970" spans="8:8" x14ac:dyDescent="0.25">
      <c r="H970" s="15"/>
    </row>
    <row r="971" spans="8:8" x14ac:dyDescent="0.25">
      <c r="H971" s="15"/>
    </row>
    <row r="972" spans="8:8" x14ac:dyDescent="0.25">
      <c r="H972" s="15"/>
    </row>
    <row r="973" spans="8:8" x14ac:dyDescent="0.25">
      <c r="H973" s="15"/>
    </row>
    <row r="974" spans="8:8" x14ac:dyDescent="0.25">
      <c r="H974" s="15"/>
    </row>
    <row r="975" spans="8:8" x14ac:dyDescent="0.25">
      <c r="H975" s="15"/>
    </row>
    <row r="976" spans="8:8" x14ac:dyDescent="0.25">
      <c r="H976" s="15"/>
    </row>
    <row r="977" spans="8:8" x14ac:dyDescent="0.25">
      <c r="H977" s="15"/>
    </row>
    <row r="978" spans="8:8" x14ac:dyDescent="0.25">
      <c r="H978" s="15"/>
    </row>
    <row r="979" spans="8:8" x14ac:dyDescent="0.25">
      <c r="H979" s="15"/>
    </row>
    <row r="980" spans="8:8" x14ac:dyDescent="0.25">
      <c r="H980" s="15"/>
    </row>
    <row r="981" spans="8:8" x14ac:dyDescent="0.25">
      <c r="H981" s="15"/>
    </row>
    <row r="982" spans="8:8" x14ac:dyDescent="0.25">
      <c r="H982" s="15"/>
    </row>
    <row r="983" spans="8:8" x14ac:dyDescent="0.25">
      <c r="H983" s="15"/>
    </row>
    <row r="984" spans="8:8" x14ac:dyDescent="0.25">
      <c r="H984" s="15"/>
    </row>
    <row r="985" spans="8:8" x14ac:dyDescent="0.25">
      <c r="H985" s="15"/>
    </row>
    <row r="986" spans="8:8" x14ac:dyDescent="0.25">
      <c r="H986" s="15"/>
    </row>
    <row r="987" spans="8:8" x14ac:dyDescent="0.25">
      <c r="H987" s="15"/>
    </row>
    <row r="988" spans="8:8" x14ac:dyDescent="0.25">
      <c r="H988" s="15"/>
    </row>
    <row r="989" spans="8:8" x14ac:dyDescent="0.25">
      <c r="H989" s="15"/>
    </row>
    <row r="990" spans="8:8" x14ac:dyDescent="0.25">
      <c r="H990" s="15"/>
    </row>
    <row r="991" spans="8:8" x14ac:dyDescent="0.25">
      <c r="H991" s="15"/>
    </row>
    <row r="992" spans="8:8" x14ac:dyDescent="0.25">
      <c r="H992" s="15"/>
    </row>
    <row r="993" spans="8:8" x14ac:dyDescent="0.25">
      <c r="H993" s="15"/>
    </row>
    <row r="994" spans="8:8" x14ac:dyDescent="0.25">
      <c r="H994" s="15"/>
    </row>
    <row r="995" spans="8:8" x14ac:dyDescent="0.25">
      <c r="H995" s="15"/>
    </row>
    <row r="996" spans="8:8" x14ac:dyDescent="0.25">
      <c r="H996" s="15"/>
    </row>
    <row r="997" spans="8:8" x14ac:dyDescent="0.25">
      <c r="H997" s="15"/>
    </row>
    <row r="998" spans="8:8" x14ac:dyDescent="0.25">
      <c r="H998" s="15"/>
    </row>
    <row r="999" spans="8:8" x14ac:dyDescent="0.25">
      <c r="H999" s="15"/>
    </row>
    <row r="1000" spans="8:8" x14ac:dyDescent="0.25">
      <c r="H1000" s="1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7.21875" customWidth="1"/>
    <col min="2" max="2" width="18.88671875" customWidth="1"/>
    <col min="3" max="3" width="23.21875" customWidth="1"/>
    <col min="4" max="4" width="16.44140625" customWidth="1"/>
    <col min="5" max="5" width="11.33203125" customWidth="1"/>
    <col min="6" max="6" width="14.21875" customWidth="1"/>
    <col min="7" max="7" width="10.44140625" customWidth="1"/>
  </cols>
  <sheetData>
    <row r="1" spans="1:27" x14ac:dyDescent="0.25">
      <c r="A1" s="7" t="s">
        <v>293</v>
      </c>
      <c r="B1" s="7" t="s">
        <v>15</v>
      </c>
      <c r="C1" s="33" t="s">
        <v>294</v>
      </c>
      <c r="D1" s="7" t="s">
        <v>295</v>
      </c>
      <c r="E1" s="7" t="s">
        <v>3</v>
      </c>
      <c r="F1" s="7" t="s">
        <v>296</v>
      </c>
      <c r="G1" s="7" t="s">
        <v>4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5">
      <c r="A2" s="35" t="s">
        <v>104</v>
      </c>
      <c r="B2" s="35" t="s">
        <v>297</v>
      </c>
      <c r="C2" s="15">
        <v>82.8</v>
      </c>
      <c r="D2" s="15">
        <v>1</v>
      </c>
      <c r="E2" s="15">
        <v>1</v>
      </c>
      <c r="F2" s="15">
        <v>0</v>
      </c>
      <c r="G2" s="15">
        <v>0</v>
      </c>
    </row>
    <row r="3" spans="1:27" x14ac:dyDescent="0.25">
      <c r="A3" s="35" t="s">
        <v>110</v>
      </c>
      <c r="B3" s="35" t="s">
        <v>298</v>
      </c>
      <c r="C3" s="15">
        <v>73.48</v>
      </c>
      <c r="D3" s="15">
        <v>1</v>
      </c>
      <c r="E3" s="15">
        <v>1</v>
      </c>
      <c r="F3" s="15">
        <v>0</v>
      </c>
      <c r="G3" s="15">
        <v>0</v>
      </c>
    </row>
    <row r="4" spans="1:27" x14ac:dyDescent="0.25">
      <c r="A4" s="15" t="s">
        <v>85</v>
      </c>
      <c r="B4" s="36" t="s">
        <v>298</v>
      </c>
      <c r="C4" s="15">
        <v>63.58</v>
      </c>
      <c r="D4" s="15">
        <v>0</v>
      </c>
      <c r="E4" s="15">
        <v>1</v>
      </c>
      <c r="F4" s="15">
        <v>0</v>
      </c>
      <c r="G4" s="15">
        <v>0</v>
      </c>
    </row>
    <row r="5" spans="1:27" x14ac:dyDescent="0.25">
      <c r="A5" s="35" t="s">
        <v>91</v>
      </c>
      <c r="B5" s="35" t="s">
        <v>298</v>
      </c>
      <c r="C5" s="15">
        <v>59.3</v>
      </c>
      <c r="D5" s="15">
        <v>0</v>
      </c>
      <c r="E5" s="15">
        <v>1</v>
      </c>
      <c r="F5" s="15">
        <v>0</v>
      </c>
      <c r="G5" s="15">
        <v>0</v>
      </c>
    </row>
    <row r="6" spans="1:27" x14ac:dyDescent="0.25">
      <c r="A6" s="35" t="s">
        <v>89</v>
      </c>
      <c r="B6" s="35" t="s">
        <v>298</v>
      </c>
      <c r="C6" s="15">
        <v>53.08</v>
      </c>
      <c r="D6" s="15">
        <v>0</v>
      </c>
      <c r="E6" s="15">
        <v>1</v>
      </c>
      <c r="F6" s="15">
        <v>0</v>
      </c>
      <c r="G6" s="15">
        <v>0</v>
      </c>
    </row>
    <row r="7" spans="1:27" x14ac:dyDescent="0.25">
      <c r="A7" s="15" t="s">
        <v>102</v>
      </c>
      <c r="B7" s="36" t="s">
        <v>297</v>
      </c>
      <c r="C7" s="15">
        <v>49.05</v>
      </c>
      <c r="D7" s="15">
        <v>0</v>
      </c>
      <c r="E7" s="15">
        <v>0</v>
      </c>
      <c r="F7" s="15">
        <v>1</v>
      </c>
      <c r="G7" s="15">
        <v>0</v>
      </c>
    </row>
    <row r="8" spans="1:27" x14ac:dyDescent="0.25">
      <c r="A8" s="15" t="s">
        <v>127</v>
      </c>
      <c r="B8" s="36" t="s">
        <v>297</v>
      </c>
      <c r="C8" s="15">
        <v>42.13</v>
      </c>
      <c r="D8" s="15">
        <v>0</v>
      </c>
      <c r="E8" s="15">
        <v>0</v>
      </c>
      <c r="F8" s="15">
        <v>1</v>
      </c>
      <c r="G8" s="15">
        <v>0</v>
      </c>
    </row>
    <row r="9" spans="1:27" x14ac:dyDescent="0.25">
      <c r="A9" s="15" t="s">
        <v>161</v>
      </c>
      <c r="B9" s="36" t="s">
        <v>298</v>
      </c>
      <c r="C9" s="15">
        <v>35.22</v>
      </c>
      <c r="D9" s="15">
        <v>0</v>
      </c>
      <c r="E9" s="15">
        <v>0</v>
      </c>
      <c r="F9" s="15">
        <v>1</v>
      </c>
      <c r="G9" s="15">
        <v>0</v>
      </c>
    </row>
    <row r="10" spans="1:27" x14ac:dyDescent="0.25">
      <c r="A10" s="15" t="s">
        <v>214</v>
      </c>
      <c r="B10" s="36" t="s">
        <v>298</v>
      </c>
      <c r="C10" s="15">
        <v>48.81</v>
      </c>
      <c r="D10" s="15">
        <v>0</v>
      </c>
      <c r="E10" s="15">
        <v>0</v>
      </c>
      <c r="F10" s="15">
        <v>0</v>
      </c>
      <c r="G10" s="15">
        <v>1</v>
      </c>
    </row>
    <row r="11" spans="1:27" x14ac:dyDescent="0.25">
      <c r="A11" s="15" t="s">
        <v>178</v>
      </c>
      <c r="B11" s="36" t="s">
        <v>297</v>
      </c>
      <c r="C11" s="15">
        <v>48.11</v>
      </c>
      <c r="D11" s="15">
        <v>0</v>
      </c>
      <c r="E11" s="15">
        <v>0</v>
      </c>
      <c r="F11" s="15">
        <v>0</v>
      </c>
      <c r="G11" s="15">
        <v>1</v>
      </c>
    </row>
    <row r="12" spans="1:27" x14ac:dyDescent="0.25">
      <c r="A12" s="15" t="s">
        <v>184</v>
      </c>
      <c r="B12" s="15" t="s">
        <v>298</v>
      </c>
      <c r="C12" s="15">
        <v>63.96</v>
      </c>
      <c r="D12" s="15">
        <v>0</v>
      </c>
      <c r="E12" s="15">
        <v>0</v>
      </c>
      <c r="F12" s="15">
        <v>1</v>
      </c>
      <c r="G12" s="15">
        <v>1</v>
      </c>
    </row>
    <row r="13" spans="1:27" x14ac:dyDescent="0.25">
      <c r="A13" s="37" t="s">
        <v>299</v>
      </c>
      <c r="B13" s="38"/>
      <c r="C13" s="37"/>
      <c r="D13" s="37">
        <f t="shared" ref="D13:G13" si="0">SUM(D2:D12)</f>
        <v>2</v>
      </c>
      <c r="E13" s="37">
        <f t="shared" si="0"/>
        <v>5</v>
      </c>
      <c r="F13" s="37">
        <f t="shared" si="0"/>
        <v>4</v>
      </c>
      <c r="G13" s="37">
        <f t="shared" si="0"/>
        <v>3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 x14ac:dyDescent="0.25">
      <c r="B14" s="39" t="s">
        <v>300</v>
      </c>
      <c r="C14" s="39">
        <f>COUNTIF(B:B,"Domestic")</f>
        <v>7</v>
      </c>
    </row>
    <row r="15" spans="1:27" x14ac:dyDescent="0.25">
      <c r="A15" s="40"/>
      <c r="B15" s="39" t="s">
        <v>301</v>
      </c>
      <c r="C15" s="39">
        <f>COUNTIF(B:B,"Foreign")</f>
        <v>4</v>
      </c>
    </row>
    <row r="18" spans="1:4" x14ac:dyDescent="0.25">
      <c r="A18" s="15"/>
      <c r="B18" s="15"/>
      <c r="C18" s="15"/>
      <c r="D18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>
    <row r="1" spans="1:1" x14ac:dyDescent="0.25">
      <c r="A1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0"/>
  <sheetViews>
    <sheetView workbookViewId="0"/>
  </sheetViews>
  <sheetFormatPr defaultColWidth="12.6640625" defaultRowHeight="15.75" customHeight="1" x14ac:dyDescent="0.25"/>
  <sheetData>
    <row r="1" spans="1:1" x14ac:dyDescent="0.25">
      <c r="A1" s="40" t="e">
        <f>ModelSheet=Mastersheet!A:Z</f>
        <v>#NAME?</v>
      </c>
    </row>
    <row r="2" spans="1:1" x14ac:dyDescent="0.25">
      <c r="A2" s="40" t="e">
        <f>OpenSolver_AdjNum=1</f>
        <v>#NAME?</v>
      </c>
    </row>
    <row r="3" spans="1:1" x14ac:dyDescent="0.25">
      <c r="A3" s="40" t="e">
        <f>OpenSolver_ChosenSolver=Google</f>
        <v>#NAME?</v>
      </c>
    </row>
    <row r="4" spans="1:1" x14ac:dyDescent="0.25">
      <c r="A4" s="40" t="e">
        <f>OpenSolver_FastBuild=0</f>
        <v>#NAME?</v>
      </c>
    </row>
    <row r="5" spans="1:1" x14ac:dyDescent="0.25">
      <c r="A5" s="40" t="e">
        <f>OpenSolver_LinearityCheck=1</f>
        <v>#NAME?</v>
      </c>
    </row>
    <row r="6" spans="1:1" x14ac:dyDescent="0.25">
      <c r="A6" s="40" t="e">
        <f>solver_adj=Mastersheet!BT2:BT185</f>
        <v>#NAME?</v>
      </c>
    </row>
    <row r="7" spans="1:1" x14ac:dyDescent="0.25">
      <c r="A7" s="40" t="e">
        <f>solver_lhs1=Mastersheet!CB3</f>
        <v>#NAME?</v>
      </c>
    </row>
    <row r="8" spans="1:1" x14ac:dyDescent="0.25">
      <c r="A8" s="40" t="e">
        <f>solver_lhs2=Mastersheet!CB4</f>
        <v>#NAME?</v>
      </c>
    </row>
    <row r="9" spans="1:1" x14ac:dyDescent="0.25">
      <c r="A9" s="40" t="e">
        <f>solver_lhs3=Mastersheet!CB5</f>
        <v>#NAME?</v>
      </c>
    </row>
    <row r="10" spans="1:1" x14ac:dyDescent="0.25">
      <c r="A10" s="40" t="e">
        <f>solver_lhs4=Mastersheet!CB6</f>
        <v>#NAME?</v>
      </c>
    </row>
    <row r="11" spans="1:1" x14ac:dyDescent="0.25">
      <c r="A11" s="40" t="e">
        <f>solver_lhs5=Mastersheet!CB7</f>
        <v>#NAME?</v>
      </c>
    </row>
    <row r="12" spans="1:1" x14ac:dyDescent="0.25">
      <c r="A12" s="40" t="e">
        <f>solver_lhs6=Mastersheet!CB8</f>
        <v>#NAME?</v>
      </c>
    </row>
    <row r="13" spans="1:1" x14ac:dyDescent="0.25">
      <c r="A13" s="40" t="e">
        <f>solver_neg=0</f>
        <v>#NAME?</v>
      </c>
    </row>
    <row r="14" spans="1:1" x14ac:dyDescent="0.25">
      <c r="A14" s="40" t="e">
        <f>solver_num=6</f>
        <v>#NAME?</v>
      </c>
    </row>
    <row r="15" spans="1:1" x14ac:dyDescent="0.25">
      <c r="A15" s="40" t="e">
        <f>solver_opt=Mastersheet!CB2</f>
        <v>#NAME?</v>
      </c>
    </row>
    <row r="16" spans="1:1" x14ac:dyDescent="0.25">
      <c r="A16" s="40" t="e">
        <f>solver_rel1=1</f>
        <v>#NAME?</v>
      </c>
    </row>
    <row r="17" spans="1:1" x14ac:dyDescent="0.25">
      <c r="A17" s="40" t="e">
        <f>solver_rel2=2</f>
        <v>#NAME?</v>
      </c>
    </row>
    <row r="18" spans="1:1" x14ac:dyDescent="0.25">
      <c r="A18" s="40" t="e">
        <f>solver_rel3=3</f>
        <v>#NAME?</v>
      </c>
    </row>
    <row r="19" spans="1:1" x14ac:dyDescent="0.25">
      <c r="A19" s="40" t="e">
        <f>solver_rel4=3</f>
        <v>#NAME?</v>
      </c>
    </row>
    <row r="20" spans="1:1" x14ac:dyDescent="0.25">
      <c r="A20" s="40" t="e">
        <f>solver_rel5=3</f>
        <v>#NAME?</v>
      </c>
    </row>
    <row r="21" spans="1:1" x14ac:dyDescent="0.25">
      <c r="A21" s="40" t="e">
        <f>solver_rel6=3</f>
        <v>#NAME?</v>
      </c>
    </row>
    <row r="22" spans="1:1" x14ac:dyDescent="0.25">
      <c r="A22" s="40" t="e">
        <f>solver_rhs1=Mastersheet!CC3</f>
        <v>#NAME?</v>
      </c>
    </row>
    <row r="23" spans="1:1" x14ac:dyDescent="0.25">
      <c r="A23" s="40" t="e">
        <f>solver_rhs2=Mastersheet!CC4</f>
        <v>#NAME?</v>
      </c>
    </row>
    <row r="24" spans="1:1" x14ac:dyDescent="0.25">
      <c r="A24" s="40" t="e">
        <f>solver_rhs3=Mastersheet!CC5</f>
        <v>#NAME?</v>
      </c>
    </row>
    <row r="25" spans="1:1" x14ac:dyDescent="0.25">
      <c r="A25" s="40" t="e">
        <f>solver_rhs4=Mastersheet!CC6</f>
        <v>#NAME?</v>
      </c>
    </row>
    <row r="26" spans="1:1" x14ac:dyDescent="0.25">
      <c r="A26" s="40" t="e">
        <f>solver_rhs5=Mastersheet!CC7</f>
        <v>#NAME?</v>
      </c>
    </row>
    <row r="27" spans="1:1" x14ac:dyDescent="0.25">
      <c r="A27" s="40" t="e">
        <f>solver_rhs6=Mastersheet!CC8</f>
        <v>#NAME?</v>
      </c>
    </row>
    <row r="28" spans="1:1" x14ac:dyDescent="0.25">
      <c r="A28" s="40" t="e">
        <f>solver_sho=1</f>
        <v>#NAME?</v>
      </c>
    </row>
    <row r="29" spans="1:1" x14ac:dyDescent="0.25">
      <c r="A29" s="40" t="e">
        <f>solver_typ=1</f>
        <v>#NAME?</v>
      </c>
    </row>
    <row r="30" spans="1:1" x14ac:dyDescent="0.25">
      <c r="A30" s="40" t="e">
        <f>solver_val=0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Mastersheet</vt:lpstr>
      <vt:lpstr>Top 22</vt:lpstr>
      <vt:lpstr>Top 11</vt:lpstr>
      <vt:lpstr>__OpenSolverCache__</vt:lpstr>
      <vt:lpstr>__OpenSolver__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paladugu sivani</cp:lastModifiedBy>
  <dcterms:created xsi:type="dcterms:W3CDTF">2026-08-28T06:37:33Z</dcterms:created>
  <dcterms:modified xsi:type="dcterms:W3CDTF">2026-08-28T06:37:34Z</dcterms:modified>
</cp:coreProperties>
</file>