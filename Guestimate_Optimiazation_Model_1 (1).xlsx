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ptions" sheetId="1" r:id="rId5"/>
    <sheet state="visible" name="02_Capacity_Story" sheetId="2" r:id="rId6"/>
    <sheet state="visible" name="Final Plan" sheetId="3" r:id="rId7"/>
    <sheet state="visible" name="Summary" sheetId="4" r:id="rId8"/>
  </sheets>
  <definedNames/>
  <calcPr/>
</workbook>
</file>

<file path=xl/sharedStrings.xml><?xml version="1.0" encoding="utf-8"?>
<sst xmlns="http://schemas.openxmlformats.org/spreadsheetml/2006/main" count="184" uniqueCount="138">
  <si>
    <t>Assumption</t>
  </si>
  <si>
    <t>Value</t>
  </si>
  <si>
    <t>Unit</t>
  </si>
  <si>
    <t>Purpose</t>
  </si>
  <si>
    <t>Business Model</t>
  </si>
  <si>
    <t>B2B E-commerce</t>
  </si>
  <si>
    <t>Business Type</t>
  </si>
  <si>
    <t>Defines operating model</t>
  </si>
  <si>
    <t>Warehouse Grade</t>
  </si>
  <si>
    <t>Grade A</t>
  </si>
  <si>
    <t>Facility Class</t>
  </si>
  <si>
    <t>Infrastructure quality</t>
  </si>
  <si>
    <t>Storage Format</t>
  </si>
  <si>
    <t>Bulk Pallet Storage</t>
  </si>
  <si>
    <t>Storage Method</t>
  </si>
  <si>
    <t>Determines density</t>
  </si>
  <si>
    <t>Unit of Measure</t>
  </si>
  <si>
    <t>Pallet Position</t>
  </si>
  <si>
    <t>Capacity Unit</t>
  </si>
  <si>
    <t>Standardized metric</t>
  </si>
  <si>
    <t>Planning Horizon</t>
  </si>
  <si>
    <t>Years</t>
  </si>
  <si>
    <t>Time period</t>
  </si>
  <si>
    <t>Warehouse Size</t>
  </si>
  <si>
    <t>Sq Ft</t>
  </si>
  <si>
    <t>Total floor area</t>
  </si>
  <si>
    <t>Clear Height</t>
  </si>
  <si>
    <t>30–40</t>
  </si>
  <si>
    <t>Ft</t>
  </si>
  <si>
    <t>Enables multi-level racking</t>
  </si>
  <si>
    <t>Rack Levels</t>
  </si>
  <si>
    <t>Levels</t>
  </si>
  <si>
    <t>Vertical storage multiplier</t>
  </si>
  <si>
    <t>Pallet Density</t>
  </si>
  <si>
    <t>Pallets/Sq Ft</t>
  </si>
  <si>
    <t>Storage efficiency ratio</t>
  </si>
  <si>
    <t>Total Physical Capacity</t>
  </si>
  <si>
    <t>Pallets</t>
  </si>
  <si>
    <t>Max storage capacity</t>
  </si>
  <si>
    <t>Safe Utilization Limit</t>
  </si>
  <si>
    <t>%</t>
  </si>
  <si>
    <t>Avoid congestion</t>
  </si>
  <si>
    <t>Safe Working Capacity</t>
  </si>
  <si>
    <t>Usable operating limit</t>
  </si>
  <si>
    <t>Current Utilization</t>
  </si>
  <si>
    <t>Present warehouse load</t>
  </si>
  <si>
    <t>Starting Inventory (Year 0)</t>
  </si>
  <si>
    <t>Base inventory level</t>
  </si>
  <si>
    <t>Annual Growth Rate</t>
  </si>
  <si>
    <t>Inventory expansion</t>
  </si>
  <si>
    <t>Peak Season Buffer</t>
  </si>
  <si>
    <t>Stress test capacity</t>
  </si>
  <si>
    <t>Year</t>
  </si>
  <si>
    <t>Starting Inventory</t>
  </si>
  <si>
    <t>Growth (15%)</t>
  </si>
  <si>
    <t>Ending Inventory</t>
  </si>
  <si>
    <t>Peak Inventory(20%)</t>
  </si>
  <si>
    <t>Peak Demand</t>
  </si>
  <si>
    <t>Safe Capacity</t>
  </si>
  <si>
    <t>Status</t>
  </si>
  <si>
    <t>A</t>
  </si>
  <si>
    <t>Column 1</t>
  </si>
  <si>
    <t>Column 2</t>
  </si>
  <si>
    <t>Metric</t>
  </si>
  <si>
    <t>Formula</t>
  </si>
  <si>
    <t>Current Inventory</t>
  </si>
  <si>
    <t>Growth Rate</t>
  </si>
  <si>
    <t>Peak Buffer</t>
  </si>
  <si>
    <t>Breach Year</t>
  </si>
  <si>
    <t>Base Safe Capacity</t>
  </si>
  <si>
    <t>Base Breach Flag</t>
  </si>
  <si>
    <t>Base Shortage</t>
  </si>
  <si>
    <t>Optimized Capacity (90%)</t>
  </si>
  <si>
    <t>Optimized Shortage</t>
  </si>
  <si>
    <t>Base Utilization</t>
  </si>
  <si>
    <t>Optimized Peak (-10%)</t>
  </si>
  <si>
    <t>Final Gap</t>
  </si>
  <si>
    <t>Optimized Breach Year</t>
  </si>
  <si>
    <t>Base Breach Year</t>
  </si>
  <si>
    <t>Required Capacity (Year 5 Optimized)</t>
  </si>
  <si>
    <t>Optimized Safe Capacity</t>
  </si>
  <si>
    <t>Additional Capacity Needed</t>
  </si>
  <si>
    <t>% Expansion Required</t>
  </si>
  <si>
    <t>Decision</t>
  </si>
  <si>
    <t>Action</t>
  </si>
  <si>
    <t>When</t>
  </si>
  <si>
    <t>Short Term</t>
  </si>
  <si>
    <t>Optimize layout</t>
  </si>
  <si>
    <t>Year 1</t>
  </si>
  <si>
    <t>Medium Term</t>
  </si>
  <si>
    <t>Secure extra space</t>
  </si>
  <si>
    <t>Year 2</t>
  </si>
  <si>
    <t>Long Term</t>
  </si>
  <si>
    <t>Expand by 40–45%</t>
  </si>
  <si>
    <t>Year 3–4</t>
  </si>
  <si>
    <t>Fundamental Infrastructure Formulas</t>
  </si>
  <si>
    <t>Column 3</t>
  </si>
  <si>
    <t>Formula Description</t>
  </si>
  <si>
    <t>Multiplies area by density.</t>
  </si>
  <si>
    <t>Warehouse_Size * Pallet_Density</t>
  </si>
  <si>
    <t>Applies an operational buffer (85%).</t>
  </si>
  <si>
    <t>Total_Physical_Capacity * Safe_Utilization_Limit</t>
  </si>
  <si>
    <t>Starting Inventory (Y0)</t>
  </si>
  <si>
    <t>Calculates current load.</t>
  </si>
  <si>
    <t>Safe_Working_Capacity * Current_Utilization</t>
  </si>
  <si>
    <t>Capacity Story Formulas (Annual Growth)</t>
  </si>
  <si>
    <t>Column</t>
  </si>
  <si>
    <t>Formula Logic</t>
  </si>
  <si>
    <t>Value from the previous year's ending.</t>
  </si>
  <si>
    <t>Ending_Inventory_Year_Prev</t>
  </si>
  <si>
    <t>Amount of growth added this year.</t>
  </si>
  <si>
    <t>Starting_Inventory * Annual_Growth_Rate</t>
  </si>
  <si>
    <t>Total inventory at end of year.</t>
  </si>
  <si>
    <t>Starting_Inventory + Growth</t>
  </si>
  <si>
    <t>Peak Inventory (20%)</t>
  </si>
  <si>
    <t>Safety buffer for peak season.</t>
  </si>
  <si>
    <t>Ending_Inventory * Peak_Season_Buffer</t>
  </si>
  <si>
    <t>Total capacity needed during peak.</t>
  </si>
  <si>
    <t>Ending_Inventory + Peak_Inventory</t>
  </si>
  <si>
    <t>Checks if demand exceeds capacity.</t>
  </si>
  <si>
    <t>IF(Peak_Demand &gt; Safe_Capacity, "RISK", "SAFE")</t>
  </si>
  <si>
    <t>Optimization Model Formulas</t>
  </si>
  <si>
    <t>Spreadsheet Formula (Row 2 example)</t>
  </si>
  <si>
    <t>Pallets exceeding base capacity.</t>
  </si>
  <si>
    <t>MAX(0, Peak_Demand - Base_Safe_Capacity)</t>
  </si>
  <si>
    <t>Optimized Capacity</t>
  </si>
  <si>
    <t>Capacity at a higher 90% limit.</t>
  </si>
  <si>
    <t>Total_Physical_Capacity * 0.9</t>
  </si>
  <si>
    <t>Shortage with improved capacity.</t>
  </si>
  <si>
    <t>MAX(0, Peak_Demand - Optimized_Capacity)</t>
  </si>
  <si>
    <t>% of safe capacity being used.</t>
  </si>
  <si>
    <t>Peak_Demand / Base_Safe_Capacity</t>
  </si>
  <si>
    <t>Demand after efficiency gains.</t>
  </si>
  <si>
    <t>Peak_Demand * (1 - 0.1)</t>
  </si>
  <si>
    <t>Remaining shortage after all fixes.</t>
  </si>
  <si>
    <t>MAX(0, Optimized_Peak - Optimized_Capacity)</t>
  </si>
  <si>
    <t>Identifies the year failure occurs.</t>
  </si>
  <si>
    <t>IF(Final_Gap &gt; 0, Year, "")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</si>
</sst>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b/>
      <color theme="1"/>
      <name val="Roboto"/>
    </font>
    <font>
      <b/>
      <color rgb="FF000000"/>
      <name val="Roboto"/>
    </font>
    <font>
      <b/>
      <color theme="1"/>
      <name val="Arial"/>
    </font>
    <font>
      <b/>
      <color rgb="FF000000"/>
      <name val="Arial"/>
    </font>
    <font>
      <color theme="1"/>
      <name val="Arial"/>
      <scheme val="minor"/>
    </font>
    <font>
      <b/>
      <color theme="1"/>
      <name val="&quot;Google Sans Mono&quot;"/>
    </font>
    <font>
      <b/>
      <sz val="14.0"/>
      <color theme="1"/>
      <name val="Arial"/>
      <scheme val="minor"/>
    </font>
    <font>
      <b/>
      <color rgb="FF1F1F1F"/>
      <name val="&quot;Google Sans Text&quot;"/>
    </font>
    <font>
      <b/>
      <sz val="12.0"/>
      <color theme="1"/>
      <name val="Arial"/>
      <scheme val="minor"/>
    </font>
    <font>
      <b/>
      <color rgb="FF444746"/>
      <name val="&quot;Google Sans Text&quot;"/>
    </font>
    <font>
      <b/>
      <sz val="12.0"/>
      <color rgb="FF000000"/>
      <name val="&quot;Google Sans Text&quot;"/>
    </font>
    <font>
      <b/>
      <sz val="11.0"/>
      <color theme="1"/>
      <name val="&quot;Google Sans Text&quot;"/>
    </font>
    <font>
      <b/>
      <sz val="11.0"/>
      <color rgb="FF000000"/>
      <name val="&quot;Google Sans Text&quot;"/>
    </font>
    <font>
      <b/>
      <sz val="11.0"/>
      <color rgb="FF000000"/>
      <name val="Arial"/>
      <scheme val="minor"/>
    </font>
    <font>
      <b/>
      <color theme="1"/>
      <name val="&quot;Google Sans Text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0F4F9"/>
        <bgColor rgb="FFF0F4F9"/>
      </patternFill>
    </fill>
  </fills>
  <borders count="10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Font="1"/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center" readingOrder="0" shrinkToFit="0" vertical="center" wrapText="0"/>
    </xf>
    <xf borderId="1" fillId="2" fontId="4" numFmtId="0" xfId="0" applyAlignment="1" applyBorder="1" applyFill="1" applyFont="1">
      <alignment horizontal="center" shrinkToFit="0" vertical="center" wrapText="0"/>
    </xf>
    <xf borderId="2" fillId="2" fontId="4" numFmtId="0" xfId="0" applyAlignment="1" applyBorder="1" applyFont="1">
      <alignment horizontal="center" shrinkToFit="0" vertical="center" wrapText="0"/>
    </xf>
    <xf borderId="3" fillId="2" fontId="4" numFmtId="0" xfId="0" applyAlignment="1" applyBorder="1" applyFont="1">
      <alignment horizontal="center" shrinkToFit="0" vertical="center" wrapText="0"/>
    </xf>
    <xf borderId="4" fillId="3" fontId="4" numFmtId="0" xfId="0" applyAlignment="1" applyBorder="1" applyFill="1" applyFont="1">
      <alignment horizontal="center" shrinkToFit="0" vertical="center" wrapText="0"/>
    </xf>
    <xf borderId="5" fillId="3" fontId="4" numFmtId="0" xfId="0" applyAlignment="1" applyBorder="1" applyFont="1">
      <alignment horizontal="center" shrinkToFit="0" vertical="center" wrapText="0"/>
    </xf>
    <xf borderId="6" fillId="3" fontId="4" numFmtId="0" xfId="0" applyAlignment="1" applyBorder="1" applyFont="1">
      <alignment horizontal="center" shrinkToFit="0" vertical="center" wrapText="0"/>
    </xf>
    <xf borderId="7" fillId="2" fontId="4" numFmtId="0" xfId="0" applyAlignment="1" applyBorder="1" applyFont="1">
      <alignment horizontal="center" shrinkToFit="0" vertical="center" wrapText="0"/>
    </xf>
    <xf borderId="8" fillId="2" fontId="4" numFmtId="0" xfId="0" applyAlignment="1" applyBorder="1" applyFont="1">
      <alignment horizontal="center" shrinkToFit="0" vertical="center" wrapText="0"/>
    </xf>
    <xf borderId="9" fillId="2" fontId="4" numFmtId="0" xfId="0" applyAlignment="1" applyBorder="1" applyFont="1">
      <alignment horizontal="center" shrinkToFit="0" vertical="center" wrapText="0"/>
    </xf>
    <xf borderId="0" fillId="0" fontId="2" numFmtId="9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/>
    </xf>
    <xf borderId="0" fillId="0" fontId="5" numFmtId="0" xfId="0" applyAlignment="1" applyFont="1">
      <alignment horizontal="center" readingOrder="0" shrinkToFit="0" vertical="bottom" wrapText="0"/>
    </xf>
    <xf borderId="0" fillId="0" fontId="5" numFmtId="9" xfId="0" applyAlignment="1" applyFont="1" applyNumberFormat="1">
      <alignment horizontal="center" readingOrder="0"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6" numFmtId="9" xfId="0" applyAlignment="1" applyFont="1" applyNumberFormat="1">
      <alignment horizontal="center" readingOrder="0" shrinkToFit="0" vertical="bottom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9" xfId="0" applyAlignment="1" applyFont="1" applyNumberForma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4" fontId="8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" numFmtId="0" xfId="0" applyAlignment="1" applyFont="1">
      <alignment readingOrder="0"/>
    </xf>
    <xf borderId="0" fillId="0" fontId="1" numFmtId="4" xfId="0" applyFont="1" applyNumberFormat="1"/>
    <xf borderId="0" fillId="0" fontId="9" numFmtId="0" xfId="0" applyFont="1"/>
    <xf borderId="0" fillId="0" fontId="2" numFmtId="10" xfId="0" applyAlignment="1" applyFont="1" applyNumberFormat="1">
      <alignment shrinkToFit="0" vertical="center" wrapText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0" fontId="12" numFmtId="0" xfId="0" applyFont="1"/>
    <xf borderId="0" fillId="0" fontId="14" numFmtId="0" xfId="0" applyAlignment="1" applyFont="1">
      <alignment horizontal="left" readingOrder="0" shrinkToFit="0" vertical="center" wrapText="0"/>
    </xf>
    <xf borderId="0" fillId="0" fontId="15" numFmtId="0" xfId="0" applyAlignment="1" applyFont="1">
      <alignment readingOrder="0" shrinkToFit="0" vertical="center" wrapText="0"/>
    </xf>
    <xf borderId="0" fillId="0" fontId="16" numFmtId="0" xfId="0" applyAlignment="1" applyFont="1">
      <alignment shrinkToFit="0" vertical="center" wrapText="0"/>
    </xf>
    <xf borderId="0" fillId="0" fontId="17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DD9D4"/>
          <bgColor rgb="FFCDD9D4"/>
        </patternFill>
      </fill>
      <border/>
    </dxf>
  </dxfs>
  <tableStyles count="13">
    <tableStyle count="4" pivot="0" name="Assump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ssumption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ssumptions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ssumptions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ssumptions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2_Capacity_Sto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al Pl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al Plan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Final Plan-style 3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4" pivot="0" name="Final Plan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mm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mmary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mmary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percentStacked"/>
        <c:ser>
          <c:idx val="0"/>
          <c:order val="0"/>
          <c:tx>
            <c:strRef>
              <c:f>'02_Capacity_Story'!$A$1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'02_Capacity_Story'!$A$2:$A$7</c:f>
              <c:numCache/>
            </c:numRef>
          </c:val>
        </c:ser>
        <c:ser>
          <c:idx val="1"/>
          <c:order val="1"/>
          <c:tx>
            <c:strRef>
              <c:f>'02_Capacity_Story'!$B$1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'02_Capacity_Story'!$B$2:$B$7</c:f>
              <c:numCache/>
            </c:numRef>
          </c:val>
        </c:ser>
        <c:ser>
          <c:idx val="2"/>
          <c:order val="2"/>
          <c:tx>
            <c:strRef>
              <c:f>'02_Capacity_Story'!$C$1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'02_Capacity_Story'!$C$2:$C$7</c:f>
              <c:numCache/>
            </c:numRef>
          </c:val>
        </c:ser>
        <c:ser>
          <c:idx val="3"/>
          <c:order val="3"/>
          <c:tx>
            <c:strRef>
              <c:f>'02_Capacity_Story'!$D$1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val>
            <c:numRef>
              <c:f>'02_Capacity_Story'!$D$2:$D$7</c:f>
              <c:numCache/>
            </c:numRef>
          </c:val>
        </c:ser>
        <c:ser>
          <c:idx val="4"/>
          <c:order val="4"/>
          <c:tx>
            <c:strRef>
              <c:f>'02_Capacity_Story'!$E$1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val>
            <c:numRef>
              <c:f>'02_Capacity_Story'!$E$2:$E$7</c:f>
              <c:numCache/>
            </c:numRef>
          </c:val>
        </c:ser>
        <c:ser>
          <c:idx val="5"/>
          <c:order val="5"/>
          <c:tx>
            <c:strRef>
              <c:f>'02_Capacity_Story'!$F$1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val>
            <c:numRef>
              <c:f>'02_Capacity_Story'!$F$2:$F$7</c:f>
              <c:numCache/>
            </c:numRef>
          </c:val>
        </c:ser>
        <c:ser>
          <c:idx val="6"/>
          <c:order val="6"/>
          <c:tx>
            <c:strRef>
              <c:f>'02_Capacity_Story'!$G$1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'02_Capacity_Story'!$G$2:$G$7</c:f>
              <c:numCache/>
            </c:numRef>
          </c:val>
        </c:ser>
        <c:ser>
          <c:idx val="7"/>
          <c:order val="7"/>
          <c:tx>
            <c:strRef>
              <c:f>'02_Capacity_Story'!$H$1</c:f>
            </c:strRef>
          </c:tx>
          <c:val>
            <c:numRef>
              <c:f>'02_Capacity_Story'!$H$2:$H$7</c:f>
              <c:numCache/>
            </c:numRef>
          </c:val>
        </c:ser>
        <c:overlap val="100"/>
        <c:axId val="504020796"/>
        <c:axId val="1299801770"/>
      </c:barChart>
      <c:catAx>
        <c:axId val="5040207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9801770"/>
      </c:catAx>
      <c:valAx>
        <c:axId val="12998017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40207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5-Year Capacity vs Demand Projection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'02_Capacity_Story'!$A$2:$A$7</c:f>
            </c:strRef>
          </c:cat>
          <c:val>
            <c:numRef>
              <c:f>'02_Capacity_Story'!$A$2:$A$7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'02_Capacity_Story'!$A$2:$A$7</c:f>
            </c:strRef>
          </c:cat>
          <c:val>
            <c:numRef>
              <c:f>'02_Capacity_Story'!$E$2:$E$7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'02_Capacity_Story'!$A$2:$A$7</c:f>
            </c:strRef>
          </c:cat>
          <c:val>
            <c:numRef>
              <c:f>'02_Capacity_Story'!$F$2:$F$7</c:f>
              <c:numCache/>
            </c:numRef>
          </c:val>
          <c:smooth val="0"/>
        </c:ser>
        <c:axId val="1276884512"/>
        <c:axId val="168825354"/>
      </c:lineChart>
      <c:catAx>
        <c:axId val="1276884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+mn-lt"/>
                  </a:defRPr>
                </a:pPr>
                <a:r>
                  <a:rPr b="1">
                    <a:solidFill>
                      <a:schemeClr val="dk1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825354"/>
      </c:catAx>
      <c:valAx>
        <c:axId val="1688253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68845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8</xdr:row>
      <xdr:rowOff>57150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114300</xdr:colOff>
      <xdr:row>8</xdr:row>
      <xdr:rowOff>57150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6" displayName="BUSINESS_TYPE" name="BUSINESS_TYPE" id="1">
  <tableColumns count="4">
    <tableColumn name="Assumption" id="1"/>
    <tableColumn name="Value" id="2"/>
    <tableColumn name="Unit" id="3"/>
    <tableColumn name="Purpose" id="4"/>
  </tableColumns>
  <tableStyleInfo name="Assumptions-style" showColumnStripes="0" showFirstColumn="1" showLastColumn="1" showRowStripes="1"/>
</table>
</file>

<file path=xl/tables/table2.xml><?xml version="1.0" encoding="utf-8"?>
<table xmlns="http://schemas.openxmlformats.org/spreadsheetml/2006/main" ref="A10:D15" displayName="PHYSICAL_INFRASTRUCTURE" name="PHYSICAL_INFRASTRUCTURE" id="2">
  <tableColumns count="4">
    <tableColumn name="Assumption" id="1"/>
    <tableColumn name="Value" id="2"/>
    <tableColumn name="Unit" id="3"/>
    <tableColumn name="Purpose" id="4"/>
  </tableColumns>
  <tableStyleInfo name="Assumptions-style 2" showColumnStripes="0" showFirstColumn="1" showLastColumn="1" showRowStripes="1"/>
</table>
</file>

<file path=xl/tables/table3.xml><?xml version="1.0" encoding="utf-8"?>
<table xmlns="http://schemas.openxmlformats.org/spreadsheetml/2006/main" ref="A18:D20" displayName="OPERATIONAL_RISK_LIMIT" name="OPERATIONAL_RISK_LIMIT" id="3">
  <tableColumns count="4">
    <tableColumn name="Assumption" id="1"/>
    <tableColumn name="Value" id="2"/>
    <tableColumn name="Unit" id="3"/>
    <tableColumn name="Purpose" id="4"/>
  </tableColumns>
  <tableStyleInfo name="Assumptions-style 3" showColumnStripes="0" showFirstColumn="1" showLastColumn="1" showRowStripes="1"/>
</table>
</file>

<file path=xl/tables/table4.xml><?xml version="1.0" encoding="utf-8"?>
<table xmlns="http://schemas.openxmlformats.org/spreadsheetml/2006/main" ref="A23:D25" displayName="CURRENT_DEMAND_BASE" name="CURRENT_DEMAND_BASE" id="4">
  <tableColumns count="4">
    <tableColumn name="Assumption" id="1"/>
    <tableColumn name="Value" id="2"/>
    <tableColumn name="Unit" id="3"/>
    <tableColumn name="Purpose" id="4"/>
  </tableColumns>
  <tableStyleInfo name="Assumptions-style 4" showColumnStripes="0" showFirstColumn="1" showLastColumn="1" showRowStripes="1"/>
</table>
</file>

<file path=xl/tables/table5.xml><?xml version="1.0" encoding="utf-8"?>
<table xmlns="http://schemas.openxmlformats.org/spreadsheetml/2006/main" ref="A28:D30" displayName="GROWTH_AND_STRESS_FACTORS" name="GROWTH_AND_STRESS_FACTORS" id="5">
  <tableColumns count="4">
    <tableColumn name="Assumption" id="1"/>
    <tableColumn name="Value" id="2"/>
    <tableColumn name="Unit" id="3"/>
    <tableColumn name="Purpose" id="4"/>
  </tableColumns>
  <tableStyleInfo name="Assumptions-style 5" showColumnStripes="0" showFirstColumn="1" showLastColumn="1" showRowStripes="1"/>
</table>
</file>

<file path=xl/tables/table6.xml><?xml version="1.0" encoding="utf-8"?>
<table xmlns="http://schemas.openxmlformats.org/spreadsheetml/2006/main" ref="A1:H7" displayName="Table1" name="Table1" id="6">
  <tableColumns count="8">
    <tableColumn name="Year" id="1"/>
    <tableColumn name="Starting Inventory" id="2"/>
    <tableColumn name="Growth (15%)" id="3"/>
    <tableColumn name="Ending Inventory" id="4"/>
    <tableColumn name="Peak Inventory(20%)" id="5"/>
    <tableColumn name="Peak Demand" id="6"/>
    <tableColumn name="Safe Capacity" id="7"/>
    <tableColumn name="Status" id="8"/>
  </tableColumns>
  <tableStyleInfo name="02_Capacity_Story-style" showColumnStripes="0" showFirstColumn="1" showLastColumn="1" showRowStripes="1"/>
</table>
</file>

<file path=xl/tables/table7.xml><?xml version="1.0" encoding="utf-8"?>
<table xmlns="http://schemas.openxmlformats.org/spreadsheetml/2006/main" ref="B1:C7" displayName="Table2" name="Table2" id="7">
  <tableColumns count="2">
    <tableColumn name="Column 1" id="1"/>
    <tableColumn name="Column 2" id="2"/>
  </tableColumns>
  <tableStyleInfo name="Final Plan-style" showColumnStripes="0" showFirstColumn="1" showLastColumn="1" showRowStripes="1"/>
</table>
</file>

<file path=xl/tables/table8.xml><?xml version="1.0" encoding="utf-8"?>
<table xmlns="http://schemas.openxmlformats.org/spreadsheetml/2006/main" ref="A10:K15" displayName="Table3" name="Table3" id="8">
  <tableColumns count="11">
    <tableColumn name="Year" id="1"/>
    <tableColumn name="Peak Demand" id="2"/>
    <tableColumn name="Base Safe Capacity" id="3"/>
    <tableColumn name="Base Breach Flag" id="4"/>
    <tableColumn name="Base Shortage" id="5"/>
    <tableColumn name="Optimized Capacity (90%)" id="6"/>
    <tableColumn name="Optimized Shortage" id="7"/>
    <tableColumn name="Base Utilization" id="8"/>
    <tableColumn name="Optimized Peak (-10%)" id="9"/>
    <tableColumn name="Final Gap" id="10"/>
    <tableColumn name="Optimized Breach Year" id="11"/>
  </tableColumns>
  <tableStyleInfo name="Final Plan-style 2" showColumnStripes="0" showFirstColumn="1" showLastColumn="1" showRowStripes="1"/>
</table>
</file>

<file path=xl/tables/table9.xml><?xml version="1.0" encoding="utf-8"?>
<table xmlns="http://schemas.openxmlformats.org/spreadsheetml/2006/main" totalsRowCount="1" ref="A19:B23" displayName="Table4" name="Table4" id="9">
  <tableColumns count="2">
    <tableColumn totalsRowLabel="% Expansion Required" name="Metric" id="1"/>
    <tableColumn totalsRowFunction="custom" name="Value" id="2"/>
  </tableColumns>
  <tableStyleInfo name="Final Plan-style 3" showColumnStripes="0" showFirstColumn="1" showLastColumn="1" showRowStripes="1"/>
</table>
</file>

<file path=xl/tables/table10.xml><?xml version="1.0" encoding="utf-8"?>
<table xmlns="http://schemas.openxmlformats.org/spreadsheetml/2006/main" ref="A26:C29" displayName="Table5" name="Table5" id="10">
  <tableColumns count="3">
    <tableColumn name="Decision" id="1"/>
    <tableColumn name="Action" id="2"/>
    <tableColumn name="When" id="3"/>
  </tableColumns>
  <tableStyleInfo name="Final Plan-style 4" showColumnStripes="0" showFirstColumn="1" showLastColumn="1" showRowStripes="1"/>
</table>
</file>

<file path=xl/tables/table11.xml><?xml version="1.0" encoding="utf-8"?>
<table xmlns="http://schemas.openxmlformats.org/spreadsheetml/2006/main" ref="A6:C12" displayName="Table6" name="Table6" id="11">
  <tableColumns count="3">
    <tableColumn name="Column 1" id="1"/>
    <tableColumn name="Column 2" id="2"/>
    <tableColumn name="Column 3" id="3"/>
  </tableColumns>
  <tableStyleInfo name="Summary-style" showColumnStripes="0" showFirstColumn="1" showLastColumn="1" showRowStripes="1"/>
</table>
</file>

<file path=xl/tables/table12.xml><?xml version="1.0" encoding="utf-8"?>
<table xmlns="http://schemas.openxmlformats.org/spreadsheetml/2006/main" ref="A18:C25" displayName="Table7" name="Table7" id="12">
  <tableColumns count="3">
    <tableColumn name="Column" id="1"/>
    <tableColumn name="Formula Logic" id="2"/>
    <tableColumn name="Column 1" id="3"/>
  </tableColumns>
  <tableStyleInfo name="Summary-style 2" showColumnStripes="0" showFirstColumn="1" showLastColumn="1" showRowStripes="1"/>
</table>
</file>

<file path=xl/tables/table13.xml><?xml version="1.0" encoding="utf-8"?>
<table xmlns="http://schemas.openxmlformats.org/spreadsheetml/2006/main" ref="A30:C37" displayName="Table8" name="Table8" id="13">
  <tableColumns count="3">
    <tableColumn name="Metric" id="1"/>
    <tableColumn name="Formula Logic" id="2"/>
    <tableColumn name="Spreadsheet Formula (Row 2 example)" id="3"/>
  </tableColumns>
  <tableStyleInfo name="Summary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6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10.xml"/><Relationship Id="rId6" Type="http://schemas.openxmlformats.org/officeDocument/2006/relationships/table" Target="../tables/table7.xml"/><Relationship Id="rId7" Type="http://schemas.openxmlformats.org/officeDocument/2006/relationships/table" Target="../tables/table8.xml"/><Relationship Id="rId8" Type="http://schemas.openxmlformats.org/officeDocument/2006/relationships/table" Target="../tables/table9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11.xml"/><Relationship Id="rId6" Type="http://schemas.openxmlformats.org/officeDocument/2006/relationships/table" Target="../tables/table12.xml"/><Relationship Id="rId7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6.63"/>
    <col customWidth="1" min="2" max="2" width="18.25"/>
    <col customWidth="1" min="3" max="3" width="22.25"/>
    <col customWidth="1" min="4" max="4" width="24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4</v>
      </c>
      <c r="B2" s="3" t="s">
        <v>5</v>
      </c>
      <c r="C2" s="3" t="s">
        <v>6</v>
      </c>
      <c r="D2" s="3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3" t="s">
        <v>8</v>
      </c>
      <c r="B3" s="3" t="s">
        <v>9</v>
      </c>
      <c r="C3" s="3" t="s">
        <v>10</v>
      </c>
      <c r="D3" s="3" t="s">
        <v>11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3" t="s">
        <v>12</v>
      </c>
      <c r="B4" s="3" t="s">
        <v>13</v>
      </c>
      <c r="C4" s="3" t="s">
        <v>14</v>
      </c>
      <c r="D4" s="3" t="s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3" t="s">
        <v>16</v>
      </c>
      <c r="B5" s="3" t="s">
        <v>17</v>
      </c>
      <c r="C5" s="3" t="s">
        <v>18</v>
      </c>
      <c r="D5" s="3" t="s">
        <v>19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3" t="s">
        <v>20</v>
      </c>
      <c r="B6" s="3">
        <v>5.0</v>
      </c>
      <c r="C6" s="3" t="s">
        <v>21</v>
      </c>
      <c r="D6" s="3" t="s">
        <v>22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/>
      <c r="B8" s="4"/>
      <c r="C8" s="4"/>
      <c r="D8" s="4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5" t="s">
        <v>0</v>
      </c>
      <c r="B10" s="5" t="s">
        <v>1</v>
      </c>
      <c r="C10" s="5" t="s">
        <v>2</v>
      </c>
      <c r="D10" s="5" t="s">
        <v>3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6" t="s">
        <v>23</v>
      </c>
      <c r="B11" s="7">
        <v>100000.0</v>
      </c>
      <c r="C11" s="7" t="s">
        <v>24</v>
      </c>
      <c r="D11" s="8" t="s">
        <v>25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9" t="s">
        <v>26</v>
      </c>
      <c r="B12" s="10" t="s">
        <v>27</v>
      </c>
      <c r="C12" s="10" t="s">
        <v>28</v>
      </c>
      <c r="D12" s="11" t="s">
        <v>29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6" t="s">
        <v>30</v>
      </c>
      <c r="B13" s="7">
        <v>5.0</v>
      </c>
      <c r="C13" s="7" t="s">
        <v>31</v>
      </c>
      <c r="D13" s="8" t="s">
        <v>32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9" t="s">
        <v>33</v>
      </c>
      <c r="B14" s="10">
        <v>0.18</v>
      </c>
      <c r="C14" s="10" t="s">
        <v>34</v>
      </c>
      <c r="D14" s="11" t="s">
        <v>35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customHeight="1">
      <c r="A15" s="12" t="s">
        <v>36</v>
      </c>
      <c r="B15" s="13">
        <f>B11*B14</f>
        <v>18000</v>
      </c>
      <c r="C15" s="13" t="s">
        <v>37</v>
      </c>
      <c r="D15" s="14" t="s">
        <v>38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2.5" customHeight="1">
      <c r="A18" s="1" t="s">
        <v>0</v>
      </c>
      <c r="B18" s="1" t="s">
        <v>1</v>
      </c>
      <c r="C18" s="1" t="s">
        <v>2</v>
      </c>
      <c r="D18" s="1" t="s">
        <v>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customHeight="1">
      <c r="A19" s="3" t="s">
        <v>39</v>
      </c>
      <c r="B19" s="15">
        <v>0.85</v>
      </c>
      <c r="C19" s="3" t="s">
        <v>40</v>
      </c>
      <c r="D19" s="3" t="s">
        <v>41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customHeight="1">
      <c r="A20" s="3" t="s">
        <v>42</v>
      </c>
      <c r="B20" s="16">
        <f>B15*B19</f>
        <v>15300</v>
      </c>
      <c r="C20" s="3" t="s">
        <v>37</v>
      </c>
      <c r="D20" s="3" t="s">
        <v>43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7"/>
      <c r="B21" s="17"/>
      <c r="C21" s="17"/>
      <c r="D21" s="17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/>
      <c r="B22" s="4"/>
      <c r="C22" s="4"/>
      <c r="D22" s="4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2.5" customHeight="1">
      <c r="A23" s="18" t="s">
        <v>0</v>
      </c>
      <c r="B23" s="19" t="s">
        <v>1</v>
      </c>
      <c r="C23" s="18" t="s">
        <v>2</v>
      </c>
      <c r="D23" s="18" t="s">
        <v>3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2.5" customHeight="1">
      <c r="A24" s="20" t="s">
        <v>44</v>
      </c>
      <c r="B24" s="21">
        <v>0.7</v>
      </c>
      <c r="C24" s="20" t="s">
        <v>40</v>
      </c>
      <c r="D24" s="20" t="s">
        <v>45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2.5" customHeight="1">
      <c r="A25" s="20" t="s">
        <v>46</v>
      </c>
      <c r="B25" s="20">
        <f> B20 * B24</f>
        <v>10710</v>
      </c>
      <c r="C25" s="20" t="s">
        <v>37</v>
      </c>
      <c r="D25" s="20" t="s">
        <v>47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7"/>
      <c r="B26" s="17"/>
      <c r="C26" s="17"/>
      <c r="D26" s="17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7"/>
      <c r="B27" s="17"/>
      <c r="C27" s="17"/>
      <c r="D27" s="17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2.5" customHeight="1">
      <c r="A28" s="1" t="s">
        <v>0</v>
      </c>
      <c r="B28" s="1" t="s">
        <v>1</v>
      </c>
      <c r="C28" s="1" t="s">
        <v>2</v>
      </c>
      <c r="D28" s="1" t="s">
        <v>3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2.5" customHeight="1">
      <c r="A29" s="3" t="s">
        <v>48</v>
      </c>
      <c r="B29" s="15">
        <v>0.15</v>
      </c>
      <c r="C29" s="3" t="s">
        <v>40</v>
      </c>
      <c r="D29" s="3" t="s">
        <v>49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2.5" customHeight="1">
      <c r="A30" s="3" t="s">
        <v>50</v>
      </c>
      <c r="B30" s="15">
        <v>0.2</v>
      </c>
      <c r="C30" s="3" t="s">
        <v>40</v>
      </c>
      <c r="D30" s="3" t="s">
        <v>51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7"/>
      <c r="B31" s="17"/>
      <c r="C31" s="17"/>
      <c r="D31" s="17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7"/>
      <c r="B32" s="17"/>
      <c r="C32" s="17"/>
      <c r="D32" s="17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7"/>
      <c r="B33" s="17"/>
      <c r="C33" s="17"/>
      <c r="D33" s="17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7"/>
      <c r="B34" s="17"/>
      <c r="C34" s="17"/>
      <c r="D34" s="17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7"/>
      <c r="B35" s="17"/>
      <c r="C35" s="17"/>
      <c r="D35" s="17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7"/>
      <c r="B36" s="17"/>
      <c r="C36" s="17"/>
      <c r="D36" s="17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7"/>
      <c r="B37" s="17"/>
      <c r="C37" s="17"/>
      <c r="D37" s="17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7"/>
      <c r="B38" s="17"/>
      <c r="C38" s="17"/>
      <c r="D38" s="17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custom" allowBlank="1" showDropDown="1" sqref="B29:B30">
      <formula1>AND(ISNUMBER(B29),(NOT(OR(NOT(ISERROR(DATEVALUE(B29))), AND(ISNUMBER(B29), LEFT(CELL("format", B29))="D")))))</formula1>
    </dataValidation>
  </dataValidations>
  <drawing r:id="rId1"/>
  <tableParts count="5"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21.38"/>
    <col customWidth="1" min="3" max="3" width="18.25"/>
    <col customWidth="1" min="4" max="4" width="18.75"/>
    <col customWidth="1" min="5" max="5" width="21.38"/>
    <col customWidth="1" min="6" max="7" width="20.0"/>
    <col customWidth="1" min="8" max="8" width="17.25"/>
  </cols>
  <sheetData>
    <row r="1" ht="22.5" customHeight="1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22" t="s">
        <v>57</v>
      </c>
      <c r="G1" s="1" t="s">
        <v>58</v>
      </c>
      <c r="H1" s="1" t="s">
        <v>59</v>
      </c>
    </row>
    <row r="2" ht="22.5" customHeight="1">
      <c r="A2" s="3">
        <v>0.0</v>
      </c>
      <c r="B2" s="3">
        <f>Assumptions!B25</f>
        <v>10710</v>
      </c>
      <c r="C2" s="3">
        <f>B2*Assumptions!$B$29</f>
        <v>1606.5</v>
      </c>
      <c r="D2" s="16">
        <f>B2</f>
        <v>10710</v>
      </c>
      <c r="E2" s="3">
        <f>D2*Assumptions!$B$30</f>
        <v>2142</v>
      </c>
      <c r="F2" s="16">
        <f t="shared" ref="F2:F7" si="1">D2+E2</f>
        <v>12852</v>
      </c>
      <c r="G2" s="16">
        <f>Assumptions!$B$20</f>
        <v>15300</v>
      </c>
      <c r="H2" s="16" t="str">
        <f t="shared" ref="H2:H7" si="2">IF(F2&gt;G2,"RISK","SAFE")</f>
        <v>SAFE</v>
      </c>
    </row>
    <row r="3" ht="22.5" customHeight="1">
      <c r="A3" s="3">
        <v>1.0</v>
      </c>
      <c r="B3" s="16">
        <f t="shared" ref="B3:B7" si="3">D2</f>
        <v>10710</v>
      </c>
      <c r="C3" s="3">
        <f>B3*Assumptions!$B$29</f>
        <v>1606.5</v>
      </c>
      <c r="D3" s="16">
        <f t="shared" ref="D3:D7" si="4">B3+C3</f>
        <v>12316.5</v>
      </c>
      <c r="E3" s="3">
        <f>D3*Assumptions!$B$30</f>
        <v>2463.3</v>
      </c>
      <c r="F3" s="16">
        <f t="shared" si="1"/>
        <v>14779.8</v>
      </c>
      <c r="G3" s="16">
        <f>Assumptions!$B$20</f>
        <v>15300</v>
      </c>
      <c r="H3" s="16" t="str">
        <f t="shared" si="2"/>
        <v>SAFE</v>
      </c>
    </row>
    <row r="4" ht="22.5" customHeight="1">
      <c r="A4" s="3">
        <v>2.0</v>
      </c>
      <c r="B4" s="16">
        <f t="shared" si="3"/>
        <v>12316.5</v>
      </c>
      <c r="C4" s="3">
        <f>B4*Assumptions!$B$29</f>
        <v>1847.475</v>
      </c>
      <c r="D4" s="16">
        <f t="shared" si="4"/>
        <v>14163.975</v>
      </c>
      <c r="E4" s="3">
        <f>D4*Assumptions!$B$30</f>
        <v>2832.795</v>
      </c>
      <c r="F4" s="16">
        <f t="shared" si="1"/>
        <v>16996.77</v>
      </c>
      <c r="G4" s="16">
        <f>Assumptions!$B$20</f>
        <v>15300</v>
      </c>
      <c r="H4" s="16" t="str">
        <f t="shared" si="2"/>
        <v>RISK</v>
      </c>
    </row>
    <row r="5" ht="22.5" customHeight="1">
      <c r="A5" s="3">
        <v>3.0</v>
      </c>
      <c r="B5" s="16">
        <f t="shared" si="3"/>
        <v>14163.975</v>
      </c>
      <c r="C5" s="3">
        <f>B5*Assumptions!$B$29</f>
        <v>2124.59625</v>
      </c>
      <c r="D5" s="16">
        <f t="shared" si="4"/>
        <v>16288.57125</v>
      </c>
      <c r="E5" s="3">
        <f>D5*Assumptions!$B$30</f>
        <v>3257.71425</v>
      </c>
      <c r="F5" s="16">
        <f t="shared" si="1"/>
        <v>19546.2855</v>
      </c>
      <c r="G5" s="16">
        <f>Assumptions!$B$20</f>
        <v>15300</v>
      </c>
      <c r="H5" s="16" t="str">
        <f t="shared" si="2"/>
        <v>RISK</v>
      </c>
    </row>
    <row r="6" ht="22.5" customHeight="1">
      <c r="A6" s="3">
        <v>4.0</v>
      </c>
      <c r="B6" s="16">
        <f t="shared" si="3"/>
        <v>16288.57125</v>
      </c>
      <c r="C6" s="3">
        <f>B6*Assumptions!$B$29</f>
        <v>2443.285688</v>
      </c>
      <c r="D6" s="16">
        <f t="shared" si="4"/>
        <v>18731.85694</v>
      </c>
      <c r="E6" s="3">
        <f>D6*Assumptions!$B$30</f>
        <v>3746.371388</v>
      </c>
      <c r="F6" s="16">
        <f t="shared" si="1"/>
        <v>22478.22833</v>
      </c>
      <c r="G6" s="16">
        <f>Assumptions!$B$20</f>
        <v>15300</v>
      </c>
      <c r="H6" s="16" t="str">
        <f t="shared" si="2"/>
        <v>RISK</v>
      </c>
    </row>
    <row r="7" ht="22.5" customHeight="1">
      <c r="A7" s="3">
        <v>5.0</v>
      </c>
      <c r="B7" s="16">
        <f t="shared" si="3"/>
        <v>18731.85694</v>
      </c>
      <c r="C7" s="3">
        <f>B7*Assumptions!$B$29</f>
        <v>2809.778541</v>
      </c>
      <c r="D7" s="16">
        <f t="shared" si="4"/>
        <v>21541.63548</v>
      </c>
      <c r="E7" s="3">
        <f>D7*Assumptions!$B$30</f>
        <v>4308.327096</v>
      </c>
      <c r="F7" s="16">
        <f t="shared" si="1"/>
        <v>25849.96257</v>
      </c>
      <c r="G7" s="16">
        <f>Assumptions!$B$20</f>
        <v>15300</v>
      </c>
      <c r="H7" s="16" t="str">
        <f t="shared" si="2"/>
        <v>RISK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38"/>
    <col customWidth="1" min="2" max="2" width="25.38"/>
    <col customWidth="1" min="3" max="3" width="26.0"/>
    <col customWidth="1" min="4" max="5" width="21.5"/>
    <col customWidth="1" min="6" max="6" width="28.38"/>
    <col customWidth="1" min="7" max="7" width="27.88"/>
    <col customWidth="1" min="8" max="8" width="20.25"/>
    <col customWidth="1" min="9" max="9" width="21.5"/>
    <col customWidth="1" min="11" max="11" width="24.0"/>
    <col customWidth="1" min="12" max="12" width="27.5"/>
  </cols>
  <sheetData>
    <row r="1" ht="22.5" customHeight="1">
      <c r="A1" s="4" t="s">
        <v>60</v>
      </c>
      <c r="B1" s="1" t="s">
        <v>61</v>
      </c>
      <c r="C1" s="1" t="s">
        <v>62</v>
      </c>
    </row>
    <row r="2" ht="22.5" customHeight="1">
      <c r="B2" s="3" t="s">
        <v>63</v>
      </c>
      <c r="C2" s="3" t="s">
        <v>64</v>
      </c>
    </row>
    <row r="3" ht="22.5" customHeight="1">
      <c r="B3" s="23" t="s">
        <v>65</v>
      </c>
      <c r="C3" s="24">
        <f> '02_Capacity_Story'!B2</f>
        <v>10710</v>
      </c>
    </row>
    <row r="4" ht="22.5" customHeight="1">
      <c r="B4" s="23" t="s">
        <v>58</v>
      </c>
      <c r="C4" s="24">
        <f> '02_Capacity_Story'!G2</f>
        <v>15300</v>
      </c>
    </row>
    <row r="5" ht="22.5" customHeight="1">
      <c r="B5" s="23" t="s">
        <v>66</v>
      </c>
      <c r="C5" s="25">
        <f> Assumptions!B29</f>
        <v>0.15</v>
      </c>
    </row>
    <row r="6" ht="22.5" customHeight="1">
      <c r="B6" s="23" t="s">
        <v>67</v>
      </c>
      <c r="C6" s="25">
        <f> Assumptions!B30</f>
        <v>0.2</v>
      </c>
    </row>
    <row r="7" ht="22.5" customHeight="1">
      <c r="B7" s="23" t="s">
        <v>68</v>
      </c>
      <c r="C7" s="24">
        <f>IFERROR(__xludf.DUMMYFUNCTION("MIN(FILTER('02_Capacity_Story'!A2:A7,'02_Capacity_Story'!H2:H7=""RISK""))"),2.0)</f>
        <v>2</v>
      </c>
    </row>
    <row r="10" ht="22.5" customHeight="1">
      <c r="A10" s="1" t="s">
        <v>52</v>
      </c>
      <c r="B10" s="1" t="s">
        <v>57</v>
      </c>
      <c r="C10" s="1" t="s">
        <v>69</v>
      </c>
      <c r="D10" s="22" t="s">
        <v>70</v>
      </c>
      <c r="E10" s="1" t="s">
        <v>71</v>
      </c>
      <c r="F10" s="1" t="s">
        <v>72</v>
      </c>
      <c r="G10" s="1" t="s">
        <v>73</v>
      </c>
      <c r="H10" s="26" t="s">
        <v>74</v>
      </c>
      <c r="I10" s="26" t="s">
        <v>75</v>
      </c>
      <c r="J10" s="26" t="s">
        <v>76</v>
      </c>
      <c r="K10" s="27" t="s">
        <v>77</v>
      </c>
    </row>
    <row r="11" ht="22.5" customHeight="1">
      <c r="A11" s="28">
        <v>1.0</v>
      </c>
      <c r="B11" s="29">
        <f>'02_Capacity_Story'!F3</f>
        <v>14779.8</v>
      </c>
      <c r="C11" s="29">
        <f>'02_Capacity_Story'!G3</f>
        <v>15300</v>
      </c>
      <c r="D11" s="30" t="str">
        <f t="shared" ref="D11:D15" si="1">IF(B11&gt;C11, A11, "")</f>
        <v/>
      </c>
      <c r="E11" s="30">
        <f t="shared" ref="E11:E15" si="2">ROUND(MAX(0,B11-C11),1)</f>
        <v>0</v>
      </c>
      <c r="F11" s="31">
        <f t="shared" ref="F11:F15" si="3">18000*0.9</f>
        <v>16200</v>
      </c>
      <c r="G11" s="30">
        <f t="shared" ref="G11:G15" si="4">ROUND(MAX(0,B11-F11),1)</f>
        <v>0</v>
      </c>
      <c r="H11" s="32">
        <f t="shared" ref="H11:H15" si="5">B11/C11</f>
        <v>0.966</v>
      </c>
      <c r="I11" s="29">
        <f t="shared" ref="I11:I15" si="6"> ROUND(B11 * 0.9,1)</f>
        <v>13301.8</v>
      </c>
      <c r="J11" s="29">
        <f t="shared" ref="J11:J15" si="7"> MAX(0, I11 - F11)</f>
        <v>0</v>
      </c>
      <c r="K11" s="29" t="str">
        <f t="shared" ref="K11:K15" si="8">IF(I11&gt; F11,A11, "")
</f>
        <v/>
      </c>
    </row>
    <row r="12" ht="22.5" customHeight="1">
      <c r="A12" s="31">
        <v>2.0</v>
      </c>
      <c r="B12" s="29">
        <f>'02_Capacity_Story'!F4</f>
        <v>16996.77</v>
      </c>
      <c r="C12" s="29">
        <f>'02_Capacity_Story'!G4</f>
        <v>15300</v>
      </c>
      <c r="D12" s="30">
        <f t="shared" si="1"/>
        <v>2</v>
      </c>
      <c r="E12" s="30">
        <f t="shared" si="2"/>
        <v>1696.8</v>
      </c>
      <c r="F12" s="31">
        <f t="shared" si="3"/>
        <v>16200</v>
      </c>
      <c r="G12" s="30">
        <f t="shared" si="4"/>
        <v>796.8</v>
      </c>
      <c r="H12" s="32">
        <f t="shared" si="5"/>
        <v>1.1109</v>
      </c>
      <c r="I12" s="29">
        <f t="shared" si="6"/>
        <v>15297.1</v>
      </c>
      <c r="J12" s="29">
        <f t="shared" si="7"/>
        <v>0</v>
      </c>
      <c r="K12" s="29" t="str">
        <f t="shared" si="8"/>
        <v/>
      </c>
    </row>
    <row r="13" ht="22.5" customHeight="1">
      <c r="A13" s="31">
        <v>3.0</v>
      </c>
      <c r="B13" s="29">
        <f>'02_Capacity_Story'!F5</f>
        <v>19546.2855</v>
      </c>
      <c r="C13" s="29">
        <f>'02_Capacity_Story'!G5</f>
        <v>15300</v>
      </c>
      <c r="D13" s="30">
        <f t="shared" si="1"/>
        <v>3</v>
      </c>
      <c r="E13" s="30">
        <f t="shared" si="2"/>
        <v>4246.3</v>
      </c>
      <c r="F13" s="31">
        <f t="shared" si="3"/>
        <v>16200</v>
      </c>
      <c r="G13" s="30">
        <f t="shared" si="4"/>
        <v>3346.3</v>
      </c>
      <c r="H13" s="32">
        <f t="shared" si="5"/>
        <v>1.277535</v>
      </c>
      <c r="I13" s="29">
        <f t="shared" si="6"/>
        <v>17591.7</v>
      </c>
      <c r="J13" s="29">
        <f t="shared" si="7"/>
        <v>1391.7</v>
      </c>
      <c r="K13" s="29">
        <f t="shared" si="8"/>
        <v>3</v>
      </c>
    </row>
    <row r="14" ht="22.5" customHeight="1">
      <c r="A14" s="31">
        <v>4.0</v>
      </c>
      <c r="B14" s="29">
        <f>'02_Capacity_Story'!F6</f>
        <v>22478.22833</v>
      </c>
      <c r="C14" s="29">
        <f>'02_Capacity_Story'!G6</f>
        <v>15300</v>
      </c>
      <c r="D14" s="30">
        <f t="shared" si="1"/>
        <v>4</v>
      </c>
      <c r="E14" s="30">
        <f t="shared" si="2"/>
        <v>7178.2</v>
      </c>
      <c r="F14" s="31">
        <f t="shared" si="3"/>
        <v>16200</v>
      </c>
      <c r="G14" s="30">
        <f t="shared" si="4"/>
        <v>6278.2</v>
      </c>
      <c r="H14" s="32">
        <f t="shared" si="5"/>
        <v>1.46916525</v>
      </c>
      <c r="I14" s="29">
        <f t="shared" si="6"/>
        <v>20230.4</v>
      </c>
      <c r="J14" s="29">
        <f t="shared" si="7"/>
        <v>4030.4</v>
      </c>
      <c r="K14" s="29">
        <f t="shared" si="8"/>
        <v>4</v>
      </c>
    </row>
    <row r="15" ht="22.5" customHeight="1">
      <c r="A15" s="31">
        <v>5.0</v>
      </c>
      <c r="B15" s="29">
        <f>'02_Capacity_Story'!F7</f>
        <v>25849.96257</v>
      </c>
      <c r="C15" s="29">
        <f>'02_Capacity_Story'!G7</f>
        <v>15300</v>
      </c>
      <c r="D15" s="30">
        <f t="shared" si="1"/>
        <v>5</v>
      </c>
      <c r="E15" s="30">
        <f t="shared" si="2"/>
        <v>10550</v>
      </c>
      <c r="F15" s="31">
        <f t="shared" si="3"/>
        <v>16200</v>
      </c>
      <c r="G15" s="30">
        <f t="shared" si="4"/>
        <v>9650</v>
      </c>
      <c r="H15" s="32">
        <f t="shared" si="5"/>
        <v>1.689540038</v>
      </c>
      <c r="I15" s="29">
        <f t="shared" si="6"/>
        <v>23265</v>
      </c>
      <c r="J15" s="29">
        <f t="shared" si="7"/>
        <v>7065</v>
      </c>
      <c r="K15" s="29">
        <f t="shared" si="8"/>
        <v>5</v>
      </c>
    </row>
    <row r="17">
      <c r="C17" s="33" t="s">
        <v>78</v>
      </c>
      <c r="D17" s="34">
        <f>MIN(Table3[Base Breach Flag])</f>
        <v>2</v>
      </c>
      <c r="I17" s="4" t="s">
        <v>77</v>
      </c>
      <c r="K17" s="2">
        <f>MIN(Table3[Optimized Breach Year])</f>
        <v>3</v>
      </c>
    </row>
    <row r="18">
      <c r="A18" s="4"/>
      <c r="B18" s="4"/>
      <c r="C18" s="4"/>
      <c r="D18" s="4"/>
      <c r="E18" s="4"/>
    </row>
    <row r="19" ht="22.5" customHeight="1">
      <c r="A19" s="1" t="s">
        <v>63</v>
      </c>
      <c r="B19" s="1" t="s">
        <v>1</v>
      </c>
    </row>
    <row r="20" ht="22.5" customHeight="1">
      <c r="A20" s="23" t="s">
        <v>79</v>
      </c>
      <c r="B20" s="24">
        <f> I15</f>
        <v>23265</v>
      </c>
      <c r="D20" s="35"/>
      <c r="E20" s="35"/>
    </row>
    <row r="21" ht="22.5" customHeight="1">
      <c r="A21" s="23" t="s">
        <v>80</v>
      </c>
      <c r="B21" s="24">
        <f> 16200</f>
        <v>16200</v>
      </c>
    </row>
    <row r="22" ht="22.5" customHeight="1">
      <c r="A22" s="23" t="s">
        <v>81</v>
      </c>
      <c r="B22" s="24">
        <f>B20-B21</f>
        <v>7065</v>
      </c>
    </row>
    <row r="23" ht="22.5" customHeight="1">
      <c r="A23" s="23" t="s">
        <v>82</v>
      </c>
      <c r="B23" s="36">
        <f>ROUND(B22/B21,2)</f>
        <v>0.44</v>
      </c>
    </row>
    <row r="26" ht="22.5" customHeight="1">
      <c r="A26" s="1" t="s">
        <v>83</v>
      </c>
      <c r="B26" s="1" t="s">
        <v>84</v>
      </c>
      <c r="C26" s="1" t="s">
        <v>85</v>
      </c>
    </row>
    <row r="27" ht="22.5" customHeight="1">
      <c r="A27" s="23" t="s">
        <v>86</v>
      </c>
      <c r="B27" s="23" t="s">
        <v>87</v>
      </c>
      <c r="C27" s="23" t="s">
        <v>88</v>
      </c>
    </row>
    <row r="28" ht="22.5" customHeight="1">
      <c r="A28" s="23" t="s">
        <v>89</v>
      </c>
      <c r="B28" s="23" t="s">
        <v>90</v>
      </c>
      <c r="C28" s="23" t="s">
        <v>91</v>
      </c>
    </row>
    <row r="29" ht="22.5" customHeight="1">
      <c r="A29" s="23" t="s">
        <v>92</v>
      </c>
      <c r="B29" s="23" t="s">
        <v>93</v>
      </c>
      <c r="C29" s="23" t="s">
        <v>94</v>
      </c>
    </row>
  </sheetData>
  <mergeCells count="1">
    <mergeCell ref="I17:J17"/>
  </mergeCells>
  <dataValidations>
    <dataValidation type="custom" allowBlank="1" showDropDown="1" sqref="E11:E15 G11:H15">
      <formula1>AND(ISNUMBER(E11),(NOT(OR(NOT(ISERROR(DATEVALUE(E11))), AND(ISNUMBER(E11), LEFT(CELL("format", E11))="D")))))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88"/>
    <col customWidth="1" min="2" max="2" width="56.63"/>
    <col customWidth="1" min="3" max="3" width="59.88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7"/>
      <c r="B2" s="37"/>
      <c r="C2" s="37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8" t="s">
        <v>95</v>
      </c>
      <c r="B3" s="37"/>
      <c r="C3" s="39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7"/>
      <c r="B4" s="37"/>
      <c r="C4" s="39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7"/>
      <c r="B5" s="37"/>
      <c r="C5" s="39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40" t="s">
        <v>61</v>
      </c>
      <c r="B6" s="40" t="s">
        <v>62</v>
      </c>
      <c r="C6" s="40" t="s">
        <v>96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41" t="s">
        <v>63</v>
      </c>
      <c r="B7" s="41" t="s">
        <v>97</v>
      </c>
      <c r="C7" s="41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41" t="s">
        <v>36</v>
      </c>
      <c r="B8" s="41" t="s">
        <v>98</v>
      </c>
      <c r="C8" s="41" t="s">
        <v>99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41" t="s">
        <v>42</v>
      </c>
      <c r="B9" s="41" t="s">
        <v>100</v>
      </c>
      <c r="C9" s="41" t="s">
        <v>101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41" t="s">
        <v>102</v>
      </c>
      <c r="B10" s="41" t="s">
        <v>103</v>
      </c>
      <c r="C10" s="41" t="s">
        <v>104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24"/>
      <c r="B11" s="24"/>
      <c r="C11" s="24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24"/>
      <c r="B12" s="24"/>
      <c r="C12" s="24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8" t="s">
        <v>105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7"/>
      <c r="B16" s="37"/>
      <c r="C16" s="37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7"/>
      <c r="B17" s="37"/>
      <c r="C17" s="4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2.5" customHeight="1">
      <c r="A18" s="43" t="s">
        <v>106</v>
      </c>
      <c r="B18" s="43" t="s">
        <v>107</v>
      </c>
      <c r="C18" s="43" t="s">
        <v>61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customHeight="1">
      <c r="A19" s="44" t="s">
        <v>53</v>
      </c>
      <c r="B19" s="44" t="s">
        <v>108</v>
      </c>
      <c r="C19" s="44" t="s">
        <v>109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customHeight="1">
      <c r="A20" s="44" t="s">
        <v>54</v>
      </c>
      <c r="B20" s="44" t="s">
        <v>110</v>
      </c>
      <c r="C20" s="44" t="s">
        <v>111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2.5" customHeight="1">
      <c r="A21" s="44" t="s">
        <v>55</v>
      </c>
      <c r="B21" s="44" t="s">
        <v>112</v>
      </c>
      <c r="C21" s="44" t="s">
        <v>113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2.5" customHeight="1">
      <c r="A22" s="44" t="s">
        <v>114</v>
      </c>
      <c r="B22" s="44" t="s">
        <v>115</v>
      </c>
      <c r="C22" s="44" t="s">
        <v>116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2.5" customHeight="1">
      <c r="A23" s="44" t="s">
        <v>57</v>
      </c>
      <c r="B23" s="44" t="s">
        <v>117</v>
      </c>
      <c r="C23" s="44" t="s">
        <v>118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2.5" customHeight="1">
      <c r="A24" s="44" t="s">
        <v>59</v>
      </c>
      <c r="B24" s="44" t="s">
        <v>119</v>
      </c>
      <c r="C24" s="44" t="s">
        <v>120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2.5" customHeight="1">
      <c r="A25" s="45"/>
      <c r="B25" s="45"/>
      <c r="C25" s="45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8" t="s">
        <v>121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2.5" customHeight="1">
      <c r="A30" s="46" t="s">
        <v>63</v>
      </c>
      <c r="B30" s="46" t="s">
        <v>107</v>
      </c>
      <c r="C30" s="46" t="s">
        <v>122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2.5" customHeight="1">
      <c r="A31" s="44" t="s">
        <v>71</v>
      </c>
      <c r="B31" s="44" t="s">
        <v>123</v>
      </c>
      <c r="C31" s="44" t="s">
        <v>124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2.5" customHeight="1">
      <c r="A32" s="44" t="s">
        <v>125</v>
      </c>
      <c r="B32" s="44" t="s">
        <v>126</v>
      </c>
      <c r="C32" s="44" t="s">
        <v>127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2.5" customHeight="1">
      <c r="A33" s="44" t="s">
        <v>73</v>
      </c>
      <c r="B33" s="44" t="s">
        <v>128</v>
      </c>
      <c r="C33" s="44" t="s">
        <v>129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2.5" customHeight="1">
      <c r="A34" s="44" t="s">
        <v>74</v>
      </c>
      <c r="B34" s="44" t="s">
        <v>130</v>
      </c>
      <c r="C34" s="44" t="s">
        <v>131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2.5" customHeight="1">
      <c r="A35" s="44" t="s">
        <v>75</v>
      </c>
      <c r="B35" s="44" t="s">
        <v>132</v>
      </c>
      <c r="C35" s="44" t="s">
        <v>133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2.5" customHeight="1">
      <c r="A36" s="44" t="s">
        <v>76</v>
      </c>
      <c r="B36" s="44" t="s">
        <v>134</v>
      </c>
      <c r="C36" s="44" t="s">
        <v>135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2.5" customHeight="1">
      <c r="A37" s="44" t="s">
        <v>68</v>
      </c>
      <c r="B37" s="44" t="s">
        <v>136</v>
      </c>
      <c r="C37" s="44" t="s">
        <v>137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  <tableParts count="3">
    <tablePart r:id="rId5"/>
    <tablePart r:id="rId6"/>
    <tablePart r:id="rId7"/>
  </tableParts>
</worksheet>
</file>